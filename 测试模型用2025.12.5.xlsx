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临时未整理文件\"/>
    </mc:Choice>
  </mc:AlternateContent>
  <xr:revisionPtr revIDLastSave="0" documentId="13_ncr:1_{BA930F74-DFD3-4C34-8AFB-E1534E741413}" xr6:coauthVersionLast="47" xr6:coauthVersionMax="47" xr10:uidLastSave="{00000000-0000-0000-0000-000000000000}"/>
  <bookViews>
    <workbookView xWindow="-98" yWindow="-98" windowWidth="19095" windowHeight="12075" xr2:uid="{4CD68E90-3915-46F1-8147-2BB63234C6B5}"/>
  </bookViews>
  <sheets>
    <sheet name="8月" sheetId="1" r:id="rId1"/>
    <sheet name="煤参数" sheetId="2" r:id="rId2"/>
  </sheets>
  <externalReferences>
    <externalReference r:id="rId3"/>
    <externalReference r:id="rId4"/>
    <externalReference r:id="rId5"/>
  </externalReferences>
  <definedNames>
    <definedName name="、6">#REF!</definedName>
    <definedName name="\I">#REF!</definedName>
    <definedName name="\P">#REF!</definedName>
    <definedName name="___c" hidden="1">{"Fiesta Facer Page",#N/A,FALSE,"Q_C_S";"Fiesta Main Page",#N/A,FALSE,"V_L";"Fiesta 95BP Struct",#N/A,FALSE,"StructBP";"Fiesta Post 95BP Struct",#N/A,FALSE,"AdjStructBP"}</definedName>
    <definedName name="___Key2" hidden="1">#N/A</definedName>
    <definedName name="__123Graph_A" hidden="1">#N/A</definedName>
    <definedName name="__123Graph_B" hidden="1">#N/A</definedName>
    <definedName name="__123Graph_C" hidden="1">#N/A</definedName>
    <definedName name="__123Graph_D" hidden="1">#N/A</definedName>
    <definedName name="__123Graph_E" hidden="1">#N/A</definedName>
    <definedName name="__123Graph_F" hidden="1">#N/A</definedName>
    <definedName name="__123Graph_X" hidden="1">#N/A</definedName>
    <definedName name="__GMT610" hidden="1">{#N/A,#N/A,FALSE,"Plan Details"}</definedName>
    <definedName name="__Key2" hidden="1">#N/A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SP1" hidden="1">{"Fiesta Facer Page",#N/A,FALSE,"Q_C_S";"Fiesta Main Page",#N/A,FALSE,"V_L";"Fiesta 95BP Struct",#N/A,FALSE,"StructBP";"Fiesta Post 95BP Struct",#N/A,FALSE,"AdjStructBP"}</definedName>
    <definedName name="__VSP2" hidden="1">{"Presentation",#N/A,FALSE,"Feb96 - ALL"}</definedName>
    <definedName name="__VSP3" hidden="1">{"Fiesta Facer Page",#N/A,FALSE,"Q_C_S";"Fiesta Main Page",#N/A,FALSE,"V_L";"Fiesta 95BP Struct",#N/A,FALSE,"StructBP";"Fiesta Post 95BP Struct",#N/A,FALSE,"AdjStructBP"}</definedName>
    <definedName name="__VSP4" hidden="1">{"Fiesta Facer Page",#N/A,FALSE,"Q_C_S";"Fiesta Main Page",#N/A,FALSE,"V_L";"Fiesta 95BP Struct",#N/A,FALSE,"StructBP";"Fiesta Post 95BP Struct",#N/A,FALSE,"AdjStructBP"}</definedName>
    <definedName name="__VSP5" hidden="1">{"Fiesta Facer Page",#N/A,FALSE,"Q_C_S";"Fiesta Main Page",#N/A,FALSE,"V_L";"Fiesta 95BP Struct",#N/A,FALSE,"StructBP";"Fiesta Post 95BP Struct",#N/A,FALSE,"AdjStructBP"}</definedName>
    <definedName name="__VSP6" hidden="1">{"Presentation",#N/A,FALSE,"Feb96 - ALL"}</definedName>
    <definedName name="_1">#REF!</definedName>
    <definedName name="_17S1_" hidden="1">{#N/A,#N/A,FALSE,"Plan Details"}</definedName>
    <definedName name="_200901">#REF!</definedName>
    <definedName name="_200902">#REF!</definedName>
    <definedName name="_20090202">#REF!</definedName>
    <definedName name="_200903">#REF!</definedName>
    <definedName name="_20090303">#REF!</definedName>
    <definedName name="_200904">#REF!</definedName>
    <definedName name="_200910">#REF!</definedName>
    <definedName name="_200911">#REF!</definedName>
    <definedName name="_200912">#REF!</definedName>
    <definedName name="_20091201">#REF!</definedName>
    <definedName name="_2c_" hidden="1">{"Fiesta Facer Page",#N/A,FALSE,"Q_C_S";"Fiesta Main Page",#N/A,FALSE,"V_L";"Fiesta 95BP Struct",#N/A,FALSE,"StructBP";"Fiesta Post 95BP Struct",#N/A,FALSE,"AdjStructBP"}</definedName>
    <definedName name="_6S1_" hidden="1">{#N/A,#N/A,FALSE,"Plan Details"}</definedName>
    <definedName name="_72ab2_" hidden="1">{#N/A,#N/A,FALSE,"Cover";#N/A,#N/A,FALSE,"Profits";#N/A,#N/A,FALSE,"ABS";#N/A,#N/A,FALSE,"TFLE Detail";#N/A,#N/A,FALSE,"TFLE Walk";#N/A,#N/A,FALSE,"Variable Cost";#N/A,#N/A,FALSE,"V.C. Walk"}</definedName>
    <definedName name="_73ab3_" hidden="1">{#N/A,#N/A,FALSE,"Profit Status";#N/A,#N/A,FALSE,"Invest";#N/A,#N/A,FALSE,"Revenue";#N/A,#N/A,FALSE,"Variable Cost";#N/A,#N/A,FALSE,"Options &amp; Series"}</definedName>
    <definedName name="_74c_" hidden="1">{"Fiesta Facer Page",#N/A,FALSE,"Q_C_S";"Fiesta Main Page",#N/A,FALSE,"V_L";"Fiesta 95BP Struct",#N/A,FALSE,"StructBP";"Fiesta Post 95BP Struct",#N/A,FALSE,"AdjStructBP"}</definedName>
    <definedName name="_76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908">#REF!</definedName>
    <definedName name="_A4" hidden="1">{#N/A,#N/A,FALSE,"India - 3f";#N/A,#N/A,FALSE,"India - 3";#N/A,#N/A,FALSE,"India - 4f";#N/A,#N/A,FALSE,"India - 4";#N/A,#N/A,FALSE,"Retail Spider"}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fA1">#REF!</definedName>
    <definedName name="_AfA10">#REF!</definedName>
    <definedName name="_AfA11">#REF!</definedName>
    <definedName name="_AfA12">#REF!</definedName>
    <definedName name="_AfA2">#REF!</definedName>
    <definedName name="_AfA3">#REF!</definedName>
    <definedName name="_AfA4">#REF!</definedName>
    <definedName name="_AfA5">#REF!</definedName>
    <definedName name="_AfA6">#REF!</definedName>
    <definedName name="_AfA7">#REF!</definedName>
    <definedName name="_AfA8">#REF!</definedName>
    <definedName name="_AfA9">#REF!</definedName>
    <definedName name="_bdm.1C75322AE3934503B422CC82A2D07FE3.edm" hidden="1">#N/A</definedName>
    <definedName name="_c" hidden="1">{"Fiesta Facer Page",#N/A,FALSE,"Q_C_S";"Fiesta Main Page",#N/A,FALSE,"V_L";"Fiesta 95BP Struct",#N/A,FALSE,"StructBP";"Fiesta Post 95BP Struct",#N/A,FALSE,"AdjStructBP"}</definedName>
    <definedName name="_DAT1">#REF!</definedName>
    <definedName name="_DAT10">#REF!</definedName>
    <definedName name="_DAT11">#REF!</definedName>
    <definedName name="_DAT12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eeee">#REF!</definedName>
    <definedName name="_FCF2009">#REF!</definedName>
    <definedName name="_FCF2010">#REF!</definedName>
    <definedName name="_GMT610" hidden="1">{#N/A,#N/A,FALSE,"Plan Details"}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Order1" hidden="1">255</definedName>
    <definedName name="_Order2" hidden="1">255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1" hidden="1">{#N/A,#N/A,FALSE,"Assumptions";#N/A,#N/A,FALSE,"Volumes";#N/A,#N/A,FALSE,"Pricing";#N/A,#N/A,FALSE,"Variable Cost";#N/A,#N/A,FALSE,"Investment";#N/A,#N/A,FALSE,"Profitability";#N/A,#N/A,FALSE,"Business Comparison"}</definedName>
    <definedName name="_pmm2" hidden="1">{#N/A,#N/A,FALSE,"Assumptions";#N/A,#N/A,FALSE,"Volumes";#N/A,#N/A,FALSE,"Pricing";#N/A,#N/A,FALSE,"Variable Cost";#N/A,#N/A,FALSE,"Investment";#N/A,#N/A,FALSE,"Profitability";#N/A,#N/A,FALSE,"Business Comparison"}</definedName>
    <definedName name="_pmm3" hidden="1">{#N/A,#N/A,FALSE,"Cover";#N/A,#N/A,FALSE,"Profits";#N/A,#N/A,FALSE,"ABS";#N/A,#N/A,FALSE,"TFLE Detail";#N/A,#N/A,FALSE,"TFLE Walk";#N/A,#N/A,FALSE,"Variable Cost";#N/A,#N/A,FALSE,"V.C. Walk"}</definedName>
    <definedName name="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Regression_Int" hidden="1">1</definedName>
    <definedName name="_S1" hidden="1">{#N/A,#N/A,FALSE,"Plan Details"}</definedName>
    <definedName name="_VSP1" hidden="1">{"Fiesta Facer Page",#N/A,FALSE,"Q_C_S";"Fiesta Main Page",#N/A,FALSE,"V_L";"Fiesta 95BP Struct",#N/A,FALSE,"StructBP";"Fiesta Post 95BP Struct",#N/A,FALSE,"AdjStructBP"}</definedName>
    <definedName name="_VSP2" hidden="1">{"Presentation",#N/A,FALSE,"Feb96 - ALL"}</definedName>
    <definedName name="_VSP3" hidden="1">{"Fiesta Facer Page",#N/A,FALSE,"Q_C_S";"Fiesta Main Page",#N/A,FALSE,"V_L";"Fiesta 95BP Struct",#N/A,FALSE,"StructBP";"Fiesta Post 95BP Struct",#N/A,FALSE,"AdjStructBP"}</definedName>
    <definedName name="_VSP4" hidden="1">{"Fiesta Facer Page",#N/A,FALSE,"Q_C_S";"Fiesta Main Page",#N/A,FALSE,"V_L";"Fiesta 95BP Struct",#N/A,FALSE,"StructBP";"Fiesta Post 95BP Struct",#N/A,FALSE,"AdjStructBP"}</definedName>
    <definedName name="_VSP5" hidden="1">{"Fiesta Facer Page",#N/A,FALSE,"Q_C_S";"Fiesta Main Page",#N/A,FALSE,"V_L";"Fiesta 95BP Struct",#N/A,FALSE,"StructBP";"Fiesta Post 95BP Struct",#N/A,FALSE,"AdjStructBP"}</definedName>
    <definedName name="_VSP6" hidden="1">{"Presentation",#N/A,FALSE,"Feb96 - ALL"}</definedName>
    <definedName name="·11">#REF!</definedName>
    <definedName name="aa" hidden="1">{#N/A,#N/A,FALSE,"Umsatz"}</definedName>
    <definedName name="aaa" hidden="1">{#N/A,#N/A,FALSE,"BIL.1.2"}</definedName>
    <definedName name="aaaa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aaabb" hidden="1">{"Fiesta Facer Page",#N/A,FALSE,"Q_C_S";"Fiesta Main Page",#N/A,FALSE,"V_L";"Fiesta 95BP Struct",#N/A,FALSE,"StructBP";"Fiesta Post 95BP Struct",#N/A,FALSE,"AdjStructBP"}</definedName>
    <definedName name="aaafff" hidden="1">{"Fiesta Facer Page",#N/A,FALSE,"Q_C_S";"Fiesta Main Page",#N/A,FALSE,"V_L";"Fiesta 95BP Struct",#N/A,FALSE,"StructBP";"Fiesta Post 95BP Struct",#N/A,FALSE,"AdjStructBP"}</definedName>
    <definedName name="aafff" hidden="1">{"Fiesta Facer Page",#N/A,FALSE,"Q_C_S";"Fiesta Main Page",#N/A,FALSE,"V_L";"Fiesta 95BP Struct",#N/A,FALSE,"StructBP";"Fiesta Post 95BP Struct",#N/A,FALSE,"AdjStructBP"}</definedName>
    <definedName name="aafff_1" hidden="1">{"Fiesta Facer Page",#N/A,FALSE,"Q_C_S";"Fiesta Main Page",#N/A,FALSE,"V_L";"Fiesta 95BP Struct",#N/A,FALSE,"StructBP";"Fiesta Post 95BP Struct",#N/A,FALSE,"AdjStructBP"}</definedName>
    <definedName name="aafff_2" hidden="1">{"Fiesta Facer Page",#N/A,FALSE,"Q_C_S";"Fiesta Main Page",#N/A,FALSE,"V_L";"Fiesta 95BP Struct",#N/A,FALSE,"StructBP";"Fiesta Post 95BP Struct",#N/A,FALSE,"AdjStructBP"}</definedName>
    <definedName name="aafff_3" hidden="1">{"Fiesta Facer Page",#N/A,FALSE,"Q_C_S";"Fiesta Main Page",#N/A,FALSE,"V_L";"Fiesta 95BP Struct",#N/A,FALSE,"StructBP";"Fiesta Post 95BP Struct",#N/A,FALSE,"AdjStructBP"}</definedName>
    <definedName name="aasdfawef" hidden="1">{#N/A,#N/A,FALSE,"431"}</definedName>
    <definedName name="abbb" hidden="1">{"Fiesta Facer Page",#N/A,FALSE,"Q_C_S";"Fiesta Main Page",#N/A,FALSE,"V_L";"Fiesta 95BP Struct",#N/A,FALSE,"StructBP";"Fiesta Post 95BP Struct",#N/A,FALSE,"AdjStructBP"}</definedName>
    <definedName name="abbb_1" hidden="1">{"Fiesta Facer Page",#N/A,FALSE,"Q_C_S";"Fiesta Main Page",#N/A,FALSE,"V_L";"Fiesta 95BP Struct",#N/A,FALSE,"StructBP";"Fiesta Post 95BP Struct",#N/A,FALSE,"AdjStructBP"}</definedName>
    <definedName name="abbb_2" hidden="1">{"Fiesta Facer Page",#N/A,FALSE,"Q_C_S";"Fiesta Main Page",#N/A,FALSE,"V_L";"Fiesta 95BP Struct",#N/A,FALSE,"StructBP";"Fiesta Post 95BP Struct",#N/A,FALSE,"AdjStructBP"}</definedName>
    <definedName name="abbb_3" hidden="1">{"Fiesta Facer Page",#N/A,FALSE,"Q_C_S";"Fiesta Main Page",#N/A,FALSE,"V_L";"Fiesta 95BP Struct",#N/A,FALSE,"StructBP";"Fiesta Post 95BP Struct",#N/A,FALSE,"AdjStructBP"}</definedName>
    <definedName name="abc" hidden="1">{#N/A,#N/A,FALSE,"431"}</definedName>
    <definedName name="Access_Button" hidden="1">"master_Sheet1_List"</definedName>
    <definedName name="AccessDatabase" hidden="1">"C:\My Documents\2000 budget model\reporting\master.mdb"</definedName>
    <definedName name="Actual">#REF!</definedName>
    <definedName name="added3" hidden="1">{#N/A,#N/A,FALSE,"Profit Status";#N/A,#N/A,FALSE,"Invest";#N/A,#N/A,FALSE,"Revenue";#N/A,#N/A,FALSE,"Variable Cost";#N/A,#N/A,FALSE,"Options &amp; Series"}</definedName>
    <definedName name="adf" hidden="1">{"Fiesta Facer Page",#N/A,FALSE,"Q_C_S";"Fiesta Main Page",#N/A,FALSE,"V_L";"Fiesta 95BP Struct",#N/A,FALSE,"StructBP";"Fiesta Post 95BP Struct",#N/A,FALSE,"AdjStructBP"}</definedName>
    <definedName name="adf_1" hidden="1">{"Fiesta Facer Page",#N/A,FALSE,"Q_C_S";"Fiesta Main Page",#N/A,FALSE,"V_L";"Fiesta 95BP Struct",#N/A,FALSE,"StructBP";"Fiesta Post 95BP Struct",#N/A,FALSE,"AdjStructBP"}</definedName>
    <definedName name="adf_2" hidden="1">{"Fiesta Facer Page",#N/A,FALSE,"Q_C_S";"Fiesta Main Page",#N/A,FALSE,"V_L";"Fiesta 95BP Struct",#N/A,FALSE,"StructBP";"Fiesta Post 95BP Struct",#N/A,FALSE,"AdjStructBP"}</definedName>
    <definedName name="adf_3" hidden="1">{"Fiesta Facer Page",#N/A,FALSE,"Q_C_S";"Fiesta Main Page",#N/A,FALSE,"V_L";"Fiesta 95BP Struct",#N/A,FALSE,"StructBP";"Fiesta Post 95BP Struct",#N/A,FALSE,"AdjStructBP"}</definedName>
    <definedName name="adgjpgjapj" hidden="1">{"Fiesta Facer Page",#N/A,FALSE,"Q_C_S";"Fiesta Main Page",#N/A,FALSE,"V_L";"Fiesta 95BP Struct",#N/A,FALSE,"StructBP";"Fiesta Post 95BP Struct",#N/A,FALSE,"AdjStructBP"}</definedName>
    <definedName name="adgjpgjapj_1" hidden="1">{"Fiesta Facer Page",#N/A,FALSE,"Q_C_S";"Fiesta Main Page",#N/A,FALSE,"V_L";"Fiesta 95BP Struct",#N/A,FALSE,"StructBP";"Fiesta Post 95BP Struct",#N/A,FALSE,"AdjStructBP"}</definedName>
    <definedName name="adgjpgjapj_2" hidden="1">{"Fiesta Facer Page",#N/A,FALSE,"Q_C_S";"Fiesta Main Page",#N/A,FALSE,"V_L";"Fiesta 95BP Struct",#N/A,FALSE,"StructBP";"Fiesta Post 95BP Struct",#N/A,FALSE,"AdjStructBP"}</definedName>
    <definedName name="adgjpgjapj_3" hidden="1">{"Fiesta Facer Page",#N/A,FALSE,"Q_C_S";"Fiesta Main Page",#N/A,FALSE,"V_L";"Fiesta 95BP Struct",#N/A,FALSE,"StructBP";"Fiesta Post 95BP Struct",#N/A,FALSE,"AdjStructBP"}</definedName>
    <definedName name="AfA">#REF!</definedName>
    <definedName name="afd" hidden="1">{"Fiesta Facer Page",#N/A,FALSE,"Q_C_S";"Fiesta Main Page",#N/A,FALSE,"V_L";"Fiesta 95BP Struct",#N/A,FALSE,"StructBP";"Fiesta Post 95BP Struct",#N/A,FALSE,"AdjStructBP"}</definedName>
    <definedName name="agfdgads" hidden="1">{"Fcst II",#N/A,FALSE,"(1)-PROFIT SUM.";"Risk_Adj._Fcst.",#N/A,FALSE,"(2)-Risk Adj. Fcst.";"Fcst._to_Budget",#N/A,FALSE,"(3)-Fcst. to Bdgt.";"Yr._O_Yr",#N/A,FALSE,"(4)-Yr.-O-Yr."}</definedName>
    <definedName name="AktJahr">#REF!</definedName>
    <definedName name="All3AltriRicavi" hidden="1">{#N/A,#N/A,FALSE,"afa linear";#N/A,#N/A,FALSE,"mit 10% zuschuss";#N/A,#N/A,FALSE,"mit 25% zuschuss"}</definedName>
    <definedName name="All3AltriRicavi_1" hidden="1">{#N/A,#N/A,FALSE,"afa linear";#N/A,#N/A,FALSE,"mit 10% zuschuss";#N/A,#N/A,FALSE,"mit 25% zuschuss"}</definedName>
    <definedName name="allegato" hidden="1">{#N/A,#N/A,FALSE,"italien97+98";#N/A,#N/A,FALSE,"italien 99+2000"}</definedName>
    <definedName name="allegato_1" hidden="1">{#N/A,#N/A,FALSE,"italien97+98";#N/A,#N/A,FALSE,"italien 99+2000"}</definedName>
    <definedName name="Anschaffung">#REF!</definedName>
    <definedName name="anscount" hidden="1">1</definedName>
    <definedName name="Appendix" hidden="1">{#N/A,#N/A,FALSE,"Cover Page";#N/A,#N/A,FALSE,"Facing Page";#N/A,#N/A,FALSE,"Main Page";#N/A,#N/A,FALSE,"Risk-Adjusted";#N/A,#N/A,FALSE,"Profit Improvement"}</definedName>
    <definedName name="arbstd">#REF!</definedName>
    <definedName name="arbtag">#REF!</definedName>
    <definedName name="Area">#REF!</definedName>
    <definedName name="as" hidden="1">{"Fiesta Facer Page",#N/A,FALSE,"Q_C_S";"Fiesta Main Page",#N/A,FALSE,"V_L";"Fiesta 95BP Struct",#N/A,FALSE,"StructBP";"Fiesta Post 95BP Struct",#N/A,FALSE,"AdjStructBP"}</definedName>
    <definedName name="as_1" hidden="1">{"Fiesta Facer Page",#N/A,FALSE,"Q_C_S";"Fiesta Main Page",#N/A,FALSE,"V_L";"Fiesta 95BP Struct",#N/A,FALSE,"StructBP";"Fiesta Post 95BP Struct",#N/A,FALSE,"AdjStructBP"}</definedName>
    <definedName name="as_2" hidden="1">{"Fiesta Facer Page",#N/A,FALSE,"Q_C_S";"Fiesta Main Page",#N/A,FALSE,"V_L";"Fiesta 95BP Struct",#N/A,FALSE,"StructBP";"Fiesta Post 95BP Struct",#N/A,FALSE,"AdjStructBP"}</definedName>
    <definedName name="as_3" hidden="1">{"Fiesta Facer Page",#N/A,FALSE,"Q_C_S";"Fiesta Main Page",#N/A,FALSE,"V_L";"Fiesta 95BP Struct",#N/A,FALSE,"StructBP";"Fiesta Post 95BP Struct",#N/A,FALSE,"AdjStructBP"}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fasdfasdf" hidden="1">{#N/A,#N/A,FALSE,"431"}</definedName>
    <definedName name="asdfgqwrg" hidden="1">{#N/A,#N/A,FALSE,"431"}</definedName>
    <definedName name="asdfs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sdfwerqwerwe" hidden="1">{#N/A,#N/A,FALSE,"431"}</definedName>
    <definedName name="as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TSeXToEUR" hidden="1">1/[1]!EUReXToATS</definedName>
    <definedName name="attm_abc" hidden="1">{"Presentation",#N/A,FALSE,"Feb96 - ALL"}</definedName>
    <definedName name="attm_abc_1" hidden="1">{"Presentation",#N/A,FALSE,"Feb96 - ALL"}</definedName>
    <definedName name="attm_abc_2" hidden="1">{"Presentation",#N/A,FALSE,"Feb96 - ALL"}</definedName>
    <definedName name="attm_abc_3" hidden="1">{"Presentation",#N/A,FALSE,"Feb96 - ALL"}</definedName>
    <definedName name="ausfall">#REF!</definedName>
    <definedName name="Auslastung">#REF!</definedName>
    <definedName name="Auslieferungen">#REF!</definedName>
    <definedName name="AveCycle">#REF!</definedName>
    <definedName name="b_1" hidden="1">{"Fiesta Facer Page",#N/A,FALSE,"Q_C_S";"Fiesta Main Page",#N/A,FALSE,"V_L";"Fiesta 95BP Struct",#N/A,FALSE,"StructBP";"Fiesta Post 95BP Struct",#N/A,FALSE,"AdjStructBP"}</definedName>
    <definedName name="b_2" hidden="1">{"Fiesta Facer Page",#N/A,FALSE,"Q_C_S";"Fiesta Main Page",#N/A,FALSE,"V_L";"Fiesta 95BP Struct",#N/A,FALSE,"StructBP";"Fiesta Post 95BP Struct",#N/A,FALSE,"AdjStructBP"}</definedName>
    <definedName name="b_3" hidden="1">{"Fiesta Facer Page",#N/A,FALSE,"Q_C_S";"Fiesta Main Page",#N/A,FALSE,"V_L";"Fiesta 95BP Struct",#N/A,FALSE,"StructBP";"Fiesta Post 95BP Struct",#N/A,FALSE,"AdjStructBP"}</definedName>
    <definedName name="Backup" hidden="1">{"Fiesta Facer Page",#N/A,FALSE,"Q_C_S";"Fiesta Main Page",#N/A,FALSE,"V_L";"Fiesta 95BP Struct",#N/A,FALSE,"StructBP";"Fiesta Post 95BP Struct",#N/A,FALSE,"AdjStructBP"}</definedName>
    <definedName name="BalanceSheetDates">#REF!</definedName>
    <definedName name="bb" hidden="1">{"Fiesta Facer Page",#N/A,FALSE,"Q_C_S";"Fiesta Main Page",#N/A,FALSE,"V_L";"Fiesta 95BP Struct",#N/A,FALSE,"StructBP";"Fiesta Post 95BP Struct",#N/A,FALSE,"AdjStructBP"}</definedName>
    <definedName name="bb_1" hidden="1">{"Fiesta Facer Page",#N/A,FALSE,"Q_C_S";"Fiesta Main Page",#N/A,FALSE,"V_L";"Fiesta 95BP Struct",#N/A,FALSE,"StructBP";"Fiesta Post 95BP Struct",#N/A,FALSE,"AdjStructBP"}</definedName>
    <definedName name="bb_2" hidden="1">{"Fiesta Facer Page",#N/A,FALSE,"Q_C_S";"Fiesta Main Page",#N/A,FALSE,"V_L";"Fiesta 95BP Struct",#N/A,FALSE,"StructBP";"Fiesta Post 95BP Struct",#N/A,FALSE,"AdjStructBP"}</definedName>
    <definedName name="bb_3" hidden="1">{"Fiesta Facer Page",#N/A,FALSE,"Q_C_S";"Fiesta Main Page",#N/A,FALSE,"V_L";"Fiesta 95BP Struct",#N/A,FALSE,"StructBP";"Fiesta Post 95BP Struct",#N/A,FALSE,"AdjStructBP"}</definedName>
    <definedName name="bbb" hidden="1">{"Fiesta Facer Page",#N/A,FALSE,"Q_C_S";"Fiesta Main Page",#N/A,FALSE,"V_L";"Fiesta 95BP Struct",#N/A,FALSE,"StructBP";"Fiesta Post 95BP Struct",#N/A,FALSE,"AdjStructBP"}</definedName>
    <definedName name="bbb_1" hidden="1">{"Fiesta Facer Page",#N/A,FALSE,"Q_C_S";"Fiesta Main Page",#N/A,FALSE,"V_L";"Fiesta 95BP Struct",#N/A,FALSE,"StructBP";"Fiesta Post 95BP Struct",#N/A,FALSE,"AdjStructBP"}</definedName>
    <definedName name="bbb_2" hidden="1">{"Fiesta Facer Page",#N/A,FALSE,"Q_C_S";"Fiesta Main Page",#N/A,FALSE,"V_L";"Fiesta 95BP Struct",#N/A,FALSE,"StructBP";"Fiesta Post 95BP Struct",#N/A,FALSE,"AdjStructBP"}</definedName>
    <definedName name="bbb_3" hidden="1">{"Fiesta Facer Page",#N/A,FALSE,"Q_C_S";"Fiesta Main Page",#N/A,FALSE,"V_L";"Fiesta 95BP Struct",#N/A,FALSE,"StructBP";"Fiesta Post 95BP Struct",#N/A,FALSE,"AdjStructBP"}</definedName>
    <definedName name="bbbbb" hidden="1">{"Presentation",#N/A,FALSE,"Feb96 - ALL"}</definedName>
    <definedName name="bbbbb_1" hidden="1">{"Presentation",#N/A,FALSE,"Feb96 - ALL"}</definedName>
    <definedName name="bbbbb_2" hidden="1">{"Presentation",#N/A,FALSE,"Feb96 - ALL"}</definedName>
    <definedName name="bbbbb_3" hidden="1">{"Presentation",#N/A,FALSE,"Feb96 - ALL"}</definedName>
    <definedName name="BE" hidden="1">{#N/A,#N/A,FALSE,"Betr.ergebnis"}</definedName>
    <definedName name="BEFeXToEUR" hidden="1">1/[1]!EUReXToBEF</definedName>
    <definedName name="BENEFITS">#REF!</definedName>
    <definedName name="Bestände" hidden="1">{#N/A,#N/A,FALSE,"Bestände"}</definedName>
    <definedName name="Betriebsleistung" hidden="1">{#N/A,#N/A,FALSE,"Betr.leistung"}</definedName>
    <definedName name="Bilanzergebnis" hidden="1">{#N/A,#N/A,FALSE,"Bil.ergebnis"}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latt" hidden="1">{"Presentation",#N/A,FALSE,"Feb96 - ALL"}</definedName>
    <definedName name="blatt_1" hidden="1">{"Presentation",#N/A,FALSE,"Feb96 - ALL"}</definedName>
    <definedName name="blatt_2" hidden="1">{"Presentation",#N/A,FALSE,"Feb96 - ALL"}</definedName>
    <definedName name="blatt_3" hidden="1">{"Presentation",#N/A,FALSE,"Feb96 - ALL"}</definedName>
    <definedName name="Blatt3c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Blatt3c_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BONUS">#REF!</definedName>
    <definedName name="bonus1">#REF!</definedName>
    <definedName name="Boolean">#N/A</definedName>
    <definedName name="bs0d1">#REF!</definedName>
    <definedName name="bs0d2">#REF!</definedName>
    <definedName name="bs0d3">#REF!</definedName>
    <definedName name="bs0d4">#REF!</definedName>
    <definedName name="bs0j1">#REF!</definedName>
    <definedName name="bs0j2">#REF!</definedName>
    <definedName name="bs0j3">#REF!</definedName>
    <definedName name="bs0j4">#REF!</definedName>
    <definedName name="bs0m1">#REF!</definedName>
    <definedName name="bs0m2">#REF!</definedName>
    <definedName name="bs0m3">#REF!</definedName>
    <definedName name="bs0m4">#REF!</definedName>
    <definedName name="bs0t1">#REF!</definedName>
    <definedName name="bs0t2">#REF!</definedName>
    <definedName name="bs0t3">#REF!</definedName>
    <definedName name="bs0t4">#REF!</definedName>
    <definedName name="bs1d1">#REF!</definedName>
    <definedName name="bs1d2">#REF!</definedName>
    <definedName name="bs1d3">#REF!</definedName>
    <definedName name="bs1d4">#REF!</definedName>
    <definedName name="bs1j1">#REF!</definedName>
    <definedName name="bs1j2">#REF!</definedName>
    <definedName name="bs1j3">#REF!</definedName>
    <definedName name="bs1j4">#REF!</definedName>
    <definedName name="bs1m1">#REF!</definedName>
    <definedName name="bs1m2">#REF!</definedName>
    <definedName name="bs1m3">#REF!</definedName>
    <definedName name="bs1m4">#REF!</definedName>
    <definedName name="bs2d1">#REF!</definedName>
    <definedName name="bs2d2">#REF!</definedName>
    <definedName name="bs2d3">#REF!</definedName>
    <definedName name="bs2d4">#REF!</definedName>
    <definedName name="bs2j1">#REF!</definedName>
    <definedName name="bs2j2">#REF!</definedName>
    <definedName name="bs2j3">#REF!</definedName>
    <definedName name="bs2j4">#REF!</definedName>
    <definedName name="bs2m1">#REF!</definedName>
    <definedName name="bs2m2">#REF!</definedName>
    <definedName name="bs2m3">#REF!</definedName>
    <definedName name="bs2m4">#REF!</definedName>
    <definedName name="bs3d1">#REF!</definedName>
    <definedName name="bs3d2">#REF!</definedName>
    <definedName name="bs3d3">#REF!</definedName>
    <definedName name="bs3d4">#REF!</definedName>
    <definedName name="bs3j1">#REF!</definedName>
    <definedName name="bs3j2">#REF!</definedName>
    <definedName name="bs3j3">#REF!</definedName>
    <definedName name="bs3j4">#REF!</definedName>
    <definedName name="bs3m1">#REF!</definedName>
    <definedName name="bs3m2">#REF!</definedName>
    <definedName name="bs3m3">#REF!</definedName>
    <definedName name="bs3m4">#REF!</definedName>
    <definedName name="Budget">#REF!</definedName>
    <definedName name="c_1" hidden="1">{"Fiesta Facer Page",#N/A,FALSE,"Q_C_S";"Fiesta Main Page",#N/A,FALSE,"V_L";"Fiesta 95BP Struct",#N/A,FALSE,"StructBP";"Fiesta Post 95BP Struct",#N/A,FALSE,"AdjStructBP"}</definedName>
    <definedName name="c_2" hidden="1">{"Fiesta Facer Page",#N/A,FALSE,"Q_C_S";"Fiesta Main Page",#N/A,FALSE,"V_L";"Fiesta 95BP Struct",#N/A,FALSE,"StructBP";"Fiesta Post 95BP Struct",#N/A,FALSE,"AdjStructBP"}</definedName>
    <definedName name="c_3" hidden="1">{"Fiesta Facer Page",#N/A,FALSE,"Q_C_S";"Fiesta Main Page",#N/A,FALSE,"V_L";"Fiesta 95BP Struct",#N/A,FALSE,"StructBP";"Fiesta Post 95BP Struct",#N/A,FALSE,"AdjStructBP"}</definedName>
    <definedName name="CapEx">#REF!</definedName>
    <definedName name="cc" hidden="1">{"Fiesta Facer Page",#N/A,FALSE,"Q_C_S";"Fiesta Main Page",#N/A,FALSE,"V_L";"Fiesta 95BP Struct",#N/A,FALSE,"StructBP";"Fiesta Post 95BP Struct",#N/A,FALSE,"AdjStructBP"}</definedName>
    <definedName name="cc_1" hidden="1">{"Fiesta Facer Page",#N/A,FALSE,"Q_C_S";"Fiesta Main Page",#N/A,FALSE,"V_L";"Fiesta 95BP Struct",#N/A,FALSE,"StructBP";"Fiesta Post 95BP Struct",#N/A,FALSE,"AdjStructBP"}</definedName>
    <definedName name="cc_2" hidden="1">{"Fiesta Facer Page",#N/A,FALSE,"Q_C_S";"Fiesta Main Page",#N/A,FALSE,"V_L";"Fiesta 95BP Struct",#N/A,FALSE,"StructBP";"Fiesta Post 95BP Struct",#N/A,FALSE,"AdjStructBP"}</definedName>
    <definedName name="cc_3" hidden="1">{"Fiesta Facer Page",#N/A,FALSE,"Q_C_S";"Fiesta Main Page",#N/A,FALSE,"V_L";"Fiesta 95BP Struct",#N/A,FALSE,"StructBP";"Fiesta Post 95BP Struct",#N/A,FALSE,"AdjStructBP"}</definedName>
    <definedName name="ccccccc" hidden="1">{#N/A,#N/A,FALSE,"Cover";#N/A,#N/A,FALSE,"Profits";#N/A,#N/A,FALSE,"ABS";#N/A,#N/A,FALSE,"TFLE Detail";#N/A,#N/A,FALSE,"TFLE Walk";#N/A,#N/A,FALSE,"Variable Cost";#N/A,#N/A,FALSE,"V.C. Walk"}</definedName>
    <definedName name="ccccccc_1" hidden="1">{#N/A,#N/A,FALSE,"Cover";#N/A,#N/A,FALSE,"Profits";#N/A,#N/A,FALSE,"ABS";#N/A,#N/A,FALSE,"TFLE Detail";#N/A,#N/A,FALSE,"TFLE Walk";#N/A,#N/A,FALSE,"Variable Cost";#N/A,#N/A,FALSE,"V.C. Walk"}</definedName>
    <definedName name="chxc" hidden="1">{"Fiesta Facer Page",#N/A,FALSE,"Q_C_S";"Fiesta Main Page",#N/A,FALSE,"V_L";"Fiesta 95BP Struct",#N/A,FALSE,"StructBP";"Fiesta Post 95BP Struct",#N/A,FALSE,"AdjStructBP"}</definedName>
    <definedName name="chxc_1" hidden="1">{"Fiesta Facer Page",#N/A,FALSE,"Q_C_S";"Fiesta Main Page",#N/A,FALSE,"V_L";"Fiesta 95BP Struct",#N/A,FALSE,"StructBP";"Fiesta Post 95BP Struct",#N/A,FALSE,"AdjStructBP"}</definedName>
    <definedName name="CloseMonth">#REF!</definedName>
    <definedName name="cmdCancel">"Button 3"</definedName>
    <definedName name="cmdOK">"Button 2"</definedName>
    <definedName name="ColorNames">#REF!</definedName>
    <definedName name="combine" hidden="1">{"Revenue",#N/A,FALSE,"Series";"Ecprofit",#N/A,FALSE,"Series"}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nventions">#REF!</definedName>
    <definedName name="crosstab_name" hidden="1">{"_10","Grand_total","_10","_6010","_10","_6015","_10","_6016","_80","_6018","_10","_20","_6020","_10","_6021","_10","_6031","_10","_6032","_10","_6034","_20","_6035","_10","_6040","_10","_6042","_10","_6060","_10","_20","_30","_6070","_10","_20","_6075","_10","_20","_30","_40","_6081","_10","_6111","_10","_20","_90","_6112","_10","_20","_6113","_10","_6120","_10","_6122","_10","_6131","_10","_6148","_10","_6153","_10","_6154","_10","_20","_40","_6161","_10","_6163","_10","_6170","_10","_6190","_10","_90","_6200","_10","_6211","_10","_6212","_10","_6213","_10","_6214","_10","_20","_6215","_10","_6216","_10","_6217","_10","_6218","_10","_20","_6220","_10","_20","_6225","_10","_20","_6226","_10","_30","_6227","_10","_20","_80","_6228","_10","_20","_30","_40","_6231","_10","_20","_30","_40","_6232","_10","_20","_30","_6234","_10","_6236","_90","_6239","_10","_20","_6261","_10","_20","_6265","_10","_20","_6267","_20","_30","_90","_6269","_10","_20","_30","_40","_50","_60","_70","_6290","_10","_20","_30","_60","_70","_6292","_90","_6299","_10","_6310","_10","_20","_90","_6311","_10","_20","_30","_6313","_10","_20","_30","_40","_50","_60","_70","_80","_90","_6315","_10","_6341","_20","_6391","_10","_6392","_10","_20","_6393","_90","_6399","_10","_20","_30","_6401","_10","_6412","_10","_6416","_10","_60","_70","_90","_6419","_10","_6421","_10","_6422","_10","_6423","_10","_6424","_10","_30","_90","_6429","_10","_20","_30","_6431","_10","_20","_6432","_10","_20","_30","_6441","_10","_6451","_10","_20","_30","_6471","_20","_6510","_10","_6520","_10","_30","_6597","_10","_40","_60","_70","_6598","_10","_20","_30","_40","_50","_80","_6599","_10","_6600","_10","_6601","_10","_6611","_10","_20","_30"}</definedName>
    <definedName name="curr">#REF!</definedName>
    <definedName name="CurrentEntityDesc">#REF!</definedName>
    <definedName name="CurrentEntityLabel">#REF!</definedName>
    <definedName name="CurrentScenarioDesc">#REF!</definedName>
    <definedName name="CurrentScenarioLabel">#REF!</definedName>
    <definedName name="Custom1">#REF!</definedName>
    <definedName name="Custom2">#REF!</definedName>
    <definedName name="Custom3">#REF!</definedName>
    <definedName name="Custom4">#REF!</definedName>
    <definedName name="d">#N/A</definedName>
    <definedName name="_xlnm.Database">#REF!</definedName>
    <definedName name="dataload">#REF!</definedName>
    <definedName name="DATE">#REF!</definedName>
    <definedName name="dbo_tblTelefon">#REF!</definedName>
    <definedName name="dd" hidden="1">{"resultado_resumen",#N/A,FALSE}</definedName>
    <definedName name="DEMeXToEUR" hidden="1">1/[1]!EUReXToDEM</definedName>
    <definedName name="dept">#REF!</definedName>
    <definedName name="dfasdfawerf" hidden="1">{#N/A,#N/A,FALSE,"431"}</definedName>
    <definedName name="dffff" hidden="1">#N/A</definedName>
    <definedName name="dgadgsf" hidden="1">{"Presentation",#N/A,FALSE,"Feb96 - ALL"}</definedName>
    <definedName name="dkfjs" hidden="1">{TRUE,FALSE,-2,-16.25,486,281.25,FALSE,FALSE,TRUE,TRUE,0,1,5,6,8,4,2,4,TRUE,TRUE,3,TRUE,1,TRUE,100,"Swvu.resultado._.completo.","ACwvu.resultado._.completo.",1,FALSE,FALSE,0.196850393700787,0.196850393700787,0.31496062992126,0.708661417322835,1,"","&amp;LAT AF/ Neumann&amp;CPage &amp;P&amp;R&amp;D   &amp;T   ",FALSE,FALSE,FALSE,FALSE,1,100,#N/A,#N/A,"=R8C1:R460C22","=R1:R7",FALSE,FALSE,FALSE,FALSE}</definedName>
    <definedName name="dsg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edfg" hidden="1">{#N/A,#N/A,FALSE,"431"}</definedName>
    <definedName name="eee" hidden="1">#N/A</definedName>
    <definedName name="eere" hidden="1">{"resultado completo",#N/A,FALSE}</definedName>
    <definedName name="EIGHT">#N/A</definedName>
    <definedName name="Eingabe" hidden="1">{#N/A,#N/A,FALSE,"BISY-Eingabe"}</definedName>
    <definedName name="energieko">#REF!</definedName>
    <definedName name="Entities">#REF!</definedName>
    <definedName name="Entity">#REF!</definedName>
    <definedName name="EntityLookup">#REF!</definedName>
    <definedName name="EntityName">#REF!</definedName>
    <definedName name="EntityTitle">#REF!</definedName>
    <definedName name="EntityTitleLookup">#REF!</definedName>
    <definedName name="EntLookup">#REF!</definedName>
    <definedName name="eop1j">#REF!</definedName>
    <definedName name="eop1m">#REF!</definedName>
    <definedName name="eop1t">#REF!</definedName>
    <definedName name="eop2j">#REF!</definedName>
    <definedName name="eop2m">#REF!</definedName>
    <definedName name="eop2t">#REF!</definedName>
    <definedName name="eop3j">#REF!</definedName>
    <definedName name="eop3m">#REF!</definedName>
    <definedName name="eop3t">#REF!</definedName>
    <definedName name="eop4j">#REF!</definedName>
    <definedName name="eop4m">#REF!</definedName>
    <definedName name="eop4t">#REF!</definedName>
    <definedName name="EOPJS">#REF!</definedName>
    <definedName name="ESPeXToEUR" hidden="1">1/[1]!EUReXToESP</definedName>
    <definedName name="EXEMPT_S">#REF!</definedName>
    <definedName name="EXEMPTNAMES">#REF!</definedName>
    <definedName name="EXEMPTS_B">#REF!</definedName>
    <definedName name="exit" hidden="1">{"Presentation",#N/A,FALSE,"Feb96 - ALL"}</definedName>
    <definedName name="exit_1" hidden="1">{"Presentation",#N/A,FALSE,"Feb96 - ALL"}</definedName>
    <definedName name="exit_2" hidden="1">{"Presentation",#N/A,FALSE,"Feb96 - ALL"}</definedName>
    <definedName name="exit_3" hidden="1">{"Presentation",#N/A,FALSE,"Feb96 - ALL"}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 hidden="1">{"Fiesta Facer Page",#N/A,FALSE,"Q_C_S";"Fiesta Main Page",#N/A,FALSE,"V_L";"Fiesta 95BP Struct",#N/A,FALSE,"StructBP";"Fiesta Post 95BP Struct",#N/A,FALSE,"AdjStructBP"}</definedName>
    <definedName name="f_2" hidden="1">{"Fiesta Facer Page",#N/A,FALSE,"Q_C_S";"Fiesta Main Page",#N/A,FALSE,"V_L";"Fiesta 95BP Struct",#N/A,FALSE,"StructBP";"Fiesta Post 95BP Struct",#N/A,FALSE,"AdjStructBP"}</definedName>
    <definedName name="f_3" hidden="1">{"Fiesta Facer Page",#N/A,FALSE,"Q_C_S";"Fiesta Main Page",#N/A,FALSE,"V_L";"Fiesta 95BP Struct",#N/A,FALSE,"StructBP";"Fiesta Post 95BP Struct",#N/A,FALSE,"AdjStructBP"}</definedName>
    <definedName name="F6.8xxx" hidden="1">{#N/A,#N/A,FALSE,"431"}</definedName>
    <definedName name="FACTORS">#REF!</definedName>
    <definedName name="faktpers">#REF!</definedName>
    <definedName name="FaktPrüfen">#REF!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CASTTREND">#REF!</definedName>
    <definedName name="fd" hidden="1">{#VALUE!,#N/A,FALSE,0;#N/A,#N/A,FALSE,0;#N/A,#N/A,FALSE,0;#N/A,#N/A,FALSE,0}</definedName>
    <definedName name="fff" hidden="1">#N/A</definedName>
    <definedName name="ffff" hidden="1">#N/A</definedName>
    <definedName name="fffff" hidden="1">#N/A</definedName>
    <definedName name="ffffff" hidden="1">{"Presentation",#N/A,FALSE,"Feb96 - ALL"}</definedName>
    <definedName name="ffffff_1" hidden="1">{"Presentation",#N/A,FALSE,"Feb96 - ALL"}</definedName>
    <definedName name="ffffff_2" hidden="1">{"Presentation",#N/A,FALSE,"Feb96 - ALL"}</definedName>
    <definedName name="ffffff_3" hidden="1">{"Presentation",#N/A,FALSE,"Feb96 - ALL"}</definedName>
    <definedName name="fffffff" hidden="1">{"Fiesta Facer Page",#N/A,FALSE,"Q_C_S";"Fiesta Main Page",#N/A,FALSE,"V_L";"Fiesta 95BP Struct",#N/A,FALSE,"StructBP";"Fiesta Post 95BP Struct",#N/A,FALSE,"AdjStructBP"}</definedName>
    <definedName name="fffffff_1" hidden="1">{"Fiesta Facer Page",#N/A,FALSE,"Q_C_S";"Fiesta Main Page",#N/A,FALSE,"V_L";"Fiesta 95BP Struct",#N/A,FALSE,"StructBP";"Fiesta Post 95BP Struct",#N/A,FALSE,"AdjStructBP"}</definedName>
    <definedName name="fffffff_2" hidden="1">{"Fiesta Facer Page",#N/A,FALSE,"Q_C_S";"Fiesta Main Page",#N/A,FALSE,"V_L";"Fiesta 95BP Struct",#N/A,FALSE,"StructBP";"Fiesta Post 95BP Struct",#N/A,FALSE,"AdjStructBP"}</definedName>
    <definedName name="fffffff_3" hidden="1">{"Fiesta Facer Page",#N/A,FALSE,"Q_C_S";"Fiesta Main Page",#N/A,FALSE,"V_L";"Fiesta 95BP Struct",#N/A,FALSE,"StructBP";"Fiesta Post 95BP Struct",#N/A,FALSE,"AdjStructBP"}</definedName>
    <definedName name="fgsdrrtzh" hidden="1">{"Fiesta Facer Page",#N/A,FALSE,"Q_C_S";"Fiesta Main Page",#N/A,FALSE,"V_L";"Fiesta 95BP Struct",#N/A,FALSE,"StructBP";"Fiesta Post 95BP Struct",#N/A,FALSE,"AdjStructBP"}</definedName>
    <definedName name="FIMeXToEUR" hidden="1">1/[1]!EUReXToFIM</definedName>
    <definedName name="FinanceDataEntry">#REF!,#REF!,#REF!,#REF!</definedName>
    <definedName name="FIVE">#N/A</definedName>
    <definedName name="Fixkosten" hidden="1">{"fixkosten",#N/A,FALSE,"Gesamt"}</definedName>
    <definedName name="Forecast">#REF!</definedName>
    <definedName name="Forecast9">#REF!</definedName>
    <definedName name="FOUR">#N/A</definedName>
    <definedName name="FRFeXToEUR" hidden="1">1/[1]!EUReXToFRF</definedName>
    <definedName name="FXVar">#REF!</definedName>
    <definedName name="FYE">#REF!</definedName>
    <definedName name="g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e" hidden="1">{#N/A,#N/A,FALSE,"Profit Status";#N/A,#N/A,FALSE,"Invest";#N/A,#N/A,FALSE,"Revenue";#N/A,#N/A,FALSE,"Variable Cost";#N/A,#N/A,FALSE,"Options &amp; Series"}</definedName>
    <definedName name="GES_LIST" hidden="1">#N/A</definedName>
    <definedName name="get_data">#N/A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g" hidden="1">#N/A</definedName>
    <definedName name="ggg" hidden="1">{"Fiesta Facer Page",#N/A,FALSE,"Q_C_S";"Fiesta Main Page",#N/A,FALSE,"V_L";"Fiesta 95BP Struct",#N/A,FALSE,"StructBP";"Fiesta Post 95BP Struct",#N/A,FALSE,"AdjStructBP"}</definedName>
    <definedName name="ggg_1" hidden="1">{"Fiesta Facer Page",#N/A,FALSE,"Q_C_S";"Fiesta Main Page",#N/A,FALSE,"V_L";"Fiesta 95BP Struct",#N/A,FALSE,"StructBP";"Fiesta Post 95BP Struct",#N/A,FALSE,"AdjStructBP"}</definedName>
    <definedName name="ghhfdhg" hidden="1">{"Fcst II",#N/A,FALSE,"(1)-PROFIT SUM.";"Risk_Adj._Fcst.",#N/A,FALSE,"(2)-Risk Adj. Fcst.";"Fcst._to_Budget",#N/A,FALSE,"(3)-Fcst. to Bdgt.";"Yr._O_Yr",#N/A,FALSE,"(4)-Yr.-O-Yr."}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rade">#REF!</definedName>
    <definedName name="Graph">#REF!</definedName>
    <definedName name="Halewood" hidden="1">{"Fiesta Facer Page",#N/A,FALSE,"Q_C_S";"Fiesta Main Page",#N/A,FALSE,"V_L";"Fiesta 95BP Struct",#N/A,FALSE,"StructBP";"Fiesta Post 95BP Struct",#N/A,FALSE,"AdjStructBP"}</definedName>
    <definedName name="Halewood_1" hidden="1">{"Fiesta Facer Page",#N/A,FALSE,"Q_C_S";"Fiesta Main Page",#N/A,FALSE,"V_L";"Fiesta 95BP Struct",#N/A,FALSE,"StructBP";"Fiesta Post 95BP Struct",#N/A,FALSE,"AdjStructBP"}</definedName>
    <definedName name="Halewood_2" hidden="1">{"Fiesta Facer Page",#N/A,FALSE,"Q_C_S";"Fiesta Main Page",#N/A,FALSE,"V_L";"Fiesta 95BP Struct",#N/A,FALSE,"StructBP";"Fiesta Post 95BP Struct",#N/A,FALSE,"AdjStructBP"}</definedName>
    <definedName name="Halewood_3" hidden="1">{"Fiesta Facer Page",#N/A,FALSE,"Q_C_S";"Fiesta Main Page",#N/A,FALSE,"V_L";"Fiesta 95BP Struct",#N/A,FALSE,"StructBP";"Fiesta Post 95BP Struct",#N/A,FALSE,"AdjStructBP"}</definedName>
    <definedName name="hall2" hidden="1">{"fixkosten",#N/A,FALSE,"Gesamt"}</definedName>
    <definedName name="hallo" hidden="1">{"fixkosten",#N/A,FALSE,"Gesamt"}</definedName>
    <definedName name="hallo1" hidden="1">{"fixkosten",#N/A,FALSE,"Gesamt"}</definedName>
    <definedName name="hallo2" hidden="1">{"fixkosten",#N/A,FALSE,"Gesamt"}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i" hidden="1">#N/A</definedName>
    <definedName name="HiringEntity">#REF!</definedName>
    <definedName name="hk" hidden="1">{"Presentation",#N/A,FALSE,"Feb96 - ALL"}</definedName>
    <definedName name="hk_1" hidden="1">{"Presentation",#N/A,FALSE,"Feb96 - ALL"}</definedName>
    <definedName name="hk_2" hidden="1">{"Presentation",#N/A,FALSE,"Feb96 - ALL"}</definedName>
    <definedName name="hk_3" hidden="1">{"Presentation",#N/A,FALSE,"Feb96 - ALL"}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TML_CodePage" hidden="1">874</definedName>
    <definedName name="HTML_Control" hidden="1">{"'SWAP2000'!$A$1:$O$168"}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"C:\BOTHomepage\DataBank\FinMarkets\InterestRate\swap2001.html"</definedName>
    <definedName name="HTML_PathTemplate" hidden="1">"C:\BOTHomepage\DataBank\FinMarkets\InterestRate\swap2002_E.htm"</definedName>
    <definedName name="HTML_Title" hidden="1">""</definedName>
    <definedName name="HTML1_1" hidden="1">"'[cabvisdr.xls]G1 OA plan'!$A$6:$G$22"</definedName>
    <definedName name="HTML1_10" hidden="1">""</definedName>
    <definedName name="HTML1_11" hidden="1">1</definedName>
    <definedName name="HTML1_12" hidden="1">"C:\jb3\MyHTML.htm"</definedName>
    <definedName name="HTML1_2" hidden="1">1</definedName>
    <definedName name="HTML1_3" hidden="1">"cabvisdr"</definedName>
    <definedName name="HTML1_4" hidden="1">"G1 OA plan"</definedName>
    <definedName name="HTML1_5" hidden="1">""</definedName>
    <definedName name="HTML1_6" hidden="1">1</definedName>
    <definedName name="HTML1_7" hidden="1">-4146</definedName>
    <definedName name="HTML1_8" hidden="1">"12/01/99"</definedName>
    <definedName name="HTML1_9" hidden="1">"John Brogan"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1</definedName>
    <definedName name="icmachine">#REF!</definedName>
    <definedName name="ICP">#REF!</definedName>
    <definedName name="icparts">#REF!</definedName>
    <definedName name="ICPs">#REF!</definedName>
    <definedName name="icused">#REF!</definedName>
    <definedName name="IEPeXToEUR" hidden="1">1/[1]!EUReXToIEP</definedName>
    <definedName name="IncomeStatementDates">#REF!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nenumsatz" hidden="1">{#N/A,#N/A,FALSE,"Innenumsatz"}</definedName>
    <definedName name="INSTRUCTIONS">#REF!</definedName>
    <definedName name="int_ext_sel" hidden="1">1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TLeXToEUR" hidden="1">1/[1]!EUReXToITL</definedName>
    <definedName name="Jahresstückzahl">#REF!</definedName>
    <definedName name="JanvierfévrierBOM" hidden="1">{"premier mois",#N/A,TRUE,"SRF B281";"deuxième mois",#N/A,TRUE,"SRF B281";"troisième mois",#N/A,TRUE,"SRF B281";"quatrième mois",#N/A,TRUE,"SRF B281";"cinquième mois",#N/A,TRUE,"SRF B281";"sixième mois",#N/A,TRUE,"SRF B281";"septième mois",#N/A,TRUE,"SRF B281";"huitième mois",#N/A,TRUE,"SRF B281";"neuvième mois",#N/A,TRUE,"SRF B281";"dixième mois",#N/A,TRUE,"SRF B281";"onzième mois",#N/A,TRUE,"SRF B281";"douzième mois",#N/A,TRUE,"SRF B281"}</definedName>
    <definedName name="jnajdn" hidden="1">{"Presentation",#N/A,FALSE,"Feb96 - ALL"}</definedName>
    <definedName name="jnajdn_1" hidden="1">{"Presentation",#N/A,FALSE,"Feb96 - ALL"}</definedName>
    <definedName name="JobGrade">#REF!</definedName>
    <definedName name="Joe" hidden="1">{#N/A,#N/A,FALSE,"Cover Page";#N/A,#N/A,FALSE,"Facing Page";#N/A,#N/A,FALSE,"Main Page";#N/A,#N/A,FALSE,"Risk-Adjusted";#N/A,#N/A,FALSE,"Profit Improvement"}</definedName>
    <definedName name="kk" hidden="1">{"Presentation",#N/A,FALSE,"Feb96 - ALL"}</definedName>
    <definedName name="kkk" hidden="1">#N/A</definedName>
    <definedName name="koch" hidden="1">{#N/A,#N/A,FALSE,"Full";#N/A,#N/A,FALSE,"Half";#N/A,#N/A,FALSE,"Op Expenses";#N/A,#N/A,FALSE,"Cap Charge";#N/A,#N/A,FALSE,"Cost C";#N/A,#N/A,FALSE,"PP&amp;E";#N/A,#N/A,FALSE,"R&amp;D"}</definedName>
    <definedName name="kohufgtzf" hidden="1">#N/A</definedName>
    <definedName name="Kopie" hidden="1">{"Presentation",#N/A,FALSE,"Feb96 - ALL"}</definedName>
    <definedName name="Kosten99">#REF!</definedName>
    <definedName name="KOstenarten1" hidden="1">{#N/A,#N/A,FALSE,"Kosten"}</definedName>
    <definedName name="Kostenarten2" hidden="1">{#N/A,#N/A,FALSE,"Kosten"}</definedName>
    <definedName name="Kostenstellen">#REF!</definedName>
    <definedName name="KTO_BILGUV_1" hidden="1">#N/A</definedName>
    <definedName name="KTO_BILGUV_2" hidden="1">#N/A</definedName>
    <definedName name="KTO_BILGUV_3" hidden="1">#N/A</definedName>
    <definedName name="KTO_BILGUV_4" hidden="1">#N/A</definedName>
    <definedName name="KTO_H" hidden="1">#N/A</definedName>
    <definedName name="KTO_S" hidden="1">#N/A</definedName>
    <definedName name="l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l_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lklklklk" hidden="1">{"Presentation",#N/A,FALSE,"Feb96 - ALL"}</definedName>
    <definedName name="lklklklk_1" hidden="1">{"Presentation",#N/A,FALSE,"Feb96 - ALL"}</definedName>
    <definedName name="lklklklk_2" hidden="1">{"Presentation",#N/A,FALSE,"Feb96 - ALL"}</definedName>
    <definedName name="lklklklk_3" hidden="1">{"Presentation",#N/A,FALSE,"Feb96 - ALL"}</definedName>
    <definedName name="Location">#REF!</definedName>
    <definedName name="loesch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rh">#REF!</definedName>
    <definedName name="LOOKUP_TABLE">#REF!</definedName>
    <definedName name="lstOrganization">"List Box 4"</definedName>
    <definedName name="lstRegion">"List Box 5"</definedName>
    <definedName name="LUFeXToEUR" hidden="1">1/[1]!EUReXToLUF</definedName>
    <definedName name="m_1" hidden="1">{"Presentation",#N/A,FALSE,"Feb96 - ALL"}</definedName>
    <definedName name="m_2" hidden="1">{"Presentation",#N/A,FALSE,"Feb96 - ALL"}</definedName>
    <definedName name="m_3" hidden="1">{"Presentation",#N/A,FALSE,"Feb96 - ALL"}</definedName>
    <definedName name="Maschinenbenennung">#REF!</definedName>
    <definedName name="mfgmfg" hidden="1">{"PANEL1",#N/A,FALSE,"-2+14"}</definedName>
    <definedName name="Michael" hidden="1">{#N/A,#N/A,FALSE,"Profit Status";#N/A,#N/A,FALSE,"Invest";#N/A,#N/A,FALSE,"Revenue";#N/A,#N/A,FALSE,"Variable Cost";#N/A,#N/A,FALSE,"Options &amp; Series"}</definedName>
    <definedName name="mito" hidden="1">{#N/A,#N/A,FALSE,"India - 3f";#N/A,#N/A,FALSE,"India - 3";#N/A,#N/A,FALSE,"India - 4f";#N/A,#N/A,FALSE,"India - 4";#N/A,#N/A,FALSE,"Retail Spider"}</definedName>
    <definedName name="mm" hidden="1">{"Presentation",#N/A,FALSE,"Feb96 - ALL"}</definedName>
    <definedName name="mm_1" hidden="1">{"Presentation",#N/A,FALSE,"Feb96 - ALL"}</definedName>
    <definedName name="mm_2" hidden="1">{"Presentation",#N/A,FALSE,"Feb96 - ALL"}</definedName>
    <definedName name="mm_3" hidden="1">{"Presentation",#N/A,FALSE,"Feb96 - ALL"}</definedName>
    <definedName name="mmm" hidden="1">{#N/A,#N/A,FALSE,"431"}</definedName>
    <definedName name="mmmm" hidden="1">{#N/A,#N/A,FALSE,"431"}</definedName>
    <definedName name="MonatsAuwendungen" hidden="1">{#N/A,#N/A,FALSE,"Gruppe Gesamt 1. Änderung";#N/A,#N/A,FALSE,"ZWN 1. Änderung";#N/A,#N/A,FALSE,"GETRAG LB Ursprung";#N/A,#N/A,FALSE,"GETRAG Rosenbg. Ursprung ";#N/A,#N/A,FALSE,"GST  Ursprung";#N/A,#N/A,FALSE,"FZ 1. Änderung"}</definedName>
    <definedName name="MonatsAuwendungen_1" hidden="1">{#N/A,#N/A,FALSE,"Gruppe Gesamt 1. Änderung";#N/A,#N/A,FALSE,"ZWN 1. Änderung";#N/A,#N/A,FALSE,"GETRAG LB Ursprung";#N/A,#N/A,FALSE,"GETRAG Rosenbg. Ursprung ";#N/A,#N/A,FALSE,"GST  Ursprung";#N/A,#N/A,FALSE,"FZ 1. Änderung"}</definedName>
    <definedName name="MonthLookup">#REF!</definedName>
    <definedName name="Months">#REF!</definedName>
    <definedName name="MPMEntities">#REF!</definedName>
    <definedName name="Name">#REF!</definedName>
    <definedName name="new" hidden="1">{"Fiesta Facer Page",#N/A,FALSE,"Q_C_S";"Fiesta Main Page",#N/A,FALSE,"V_L";"Fiesta 95BP Struct",#N/A,FALSE,"StructBP";"Fiesta Post 95BP Struct",#N/A,FALSE,"AdjStructBP"}</definedName>
    <definedName name="newname" hidden="1">0</definedName>
    <definedName name="NewSub">#N/A</definedName>
    <definedName name="NLGeXToEUR" hidden="1">1/[1]!EUReXToNLG</definedName>
    <definedName name="nmkljmkl" hidden="1">{#N/A,#N/A,FALSE,"India - 3f";#N/A,#N/A,FALSE,"India - 3";#N/A,#N/A,FALSE,"India - 4f";#N/A,#N/A,FALSE,"India - 4";#N/A,#N/A,FALSE,"Retail Spider"}</definedName>
    <definedName name="nn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nn_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NONEXEMPT">#REF!</definedName>
    <definedName name="NONEXMPT_OT">#REF!</definedName>
    <definedName name="NONEXMPT_W">#REF!</definedName>
    <definedName name="NONEXPTNAMES">#REF!</definedName>
    <definedName name="ö" hidden="1">{"Fiesta Facer Page",#N/A,FALSE,"Q_C_S";"Fiesta Main Page",#N/A,FALSE,"V_L";"Fiesta 95BP Struct",#N/A,FALSE,"StructBP";"Fiesta Post 95BP Struct",#N/A,FALSE,"AdjStructBP"}</definedName>
    <definedName name="oakfodl" hidden="1">{"Presentation",#N/A,FALSE,"Feb96 - ALL"}</definedName>
    <definedName name="oakfodl_1" hidden="1">{"Presentation",#N/A,FALSE,"Feb96 - ALL"}</definedName>
    <definedName name="oakfodl_2" hidden="1">{"Presentation",#N/A,FALSE,"Feb96 - ALL"}</definedName>
    <definedName name="oakfodl_3" hidden="1">{"Presentation",#N/A,FALSE,"Feb96 - ALL"}</definedName>
    <definedName name="oi" hidden="1">{#N/A,#N/A,FALSE,"Profit Status";#N/A,#N/A,FALSE,"Invest";#N/A,#N/A,FALSE,"Revenue";#N/A,#N/A,FALSE,"Variable Cost";#N/A,#N/A,FALSE,"Options &amp; Series"}</definedName>
    <definedName name="ONE">#N/A</definedName>
    <definedName name="OpEarn">#REF!</definedName>
    <definedName name="Order2" hidden="1">255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riod">#REF!</definedName>
    <definedName name="Personal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Personal2a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Personalkosten">#REF!</definedName>
    <definedName name="pippo" hidden="1">{#N/A,#N/A,FALSE,"afa linear";#N/A,#N/A,FALSE,"mit 10% zuschuss";#N/A,#N/A,FALSE,"mit 25% zuschuss"}</definedName>
    <definedName name="pippo_1" hidden="1">{#N/A,#N/A,FALSE,"afa linear";#N/A,#N/A,FALSE,"mit 10% zuschuss";#N/A,#N/A,FALSE,"mit 25% zuschuss"}</definedName>
    <definedName name="PLANTREND">#REF!</definedName>
    <definedName name="pm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o" hidden="1">{"salaried",#N/A,FALSE,"VLD View (2)"}</definedName>
    <definedName name="ppp" hidden="1">{"Presentation",#N/A,FALSE,"Feb96 - ALL"}</definedName>
    <definedName name="ppp_1" hidden="1">{"Presentation",#N/A,FALSE,"Feb96 - ALL"}</definedName>
    <definedName name="ppp_2" hidden="1">{"Presentation",#N/A,FALSE,"Feb96 - ALL"}</definedName>
    <definedName name="ppp_3" hidden="1">{"Presentation",#N/A,FALSE,"Feb96 - ALL"}</definedName>
    <definedName name="ppppp" hidden="1">{#N/A,#N/A,FALSE,"Status";#N/A,#N/A,FALSE,"Deckblatt 1";#N/A,#N/A,FALSE,"Deckblatt2"}</definedName>
    <definedName name="pppppp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ProductionDataEntry">#REF!,#REF!,#REF!,#REF!,#REF!</definedName>
    <definedName name="Pruf1">#REF!</definedName>
    <definedName name="Pruf2">#REF!</definedName>
    <definedName name="Pruf3">#REF!</definedName>
    <definedName name="Pruf4">#REF!</definedName>
    <definedName name="Prüfstandskostensätze">#REF!</definedName>
    <definedName name="PSS">#REF!</definedName>
    <definedName name="PTEeXToEUR" hidden="1">1/[1]!EUReXToPTE</definedName>
    <definedName name="püaul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PYTREND">#REF!</definedName>
    <definedName name="qer" hidden="1">{"Fiesta Facer Page",#N/A,FALSE,"Q_C_S";"Fiesta Main Page",#N/A,FALSE,"V_L";"Fiesta 95BP Struct",#N/A,FALSE,"StructBP";"Fiesta Post 95BP Struct",#N/A,FALSE,"AdjStructBP"}</definedName>
    <definedName name="qer_1" hidden="1">{"Fiesta Facer Page",#N/A,FALSE,"Q_C_S";"Fiesta Main Page",#N/A,FALSE,"V_L";"Fiesta 95BP Struct",#N/A,FALSE,"StructBP";"Fiesta Post 95BP Struct",#N/A,FALSE,"AdjStructBP"}</definedName>
    <definedName name="qer_2" hidden="1">{"Fiesta Facer Page",#N/A,FALSE,"Q_C_S";"Fiesta Main Page",#N/A,FALSE,"V_L";"Fiesta 95BP Struct",#N/A,FALSE,"StructBP";"Fiesta Post 95BP Struct",#N/A,FALSE,"AdjStructBP"}</definedName>
    <definedName name="qer_3" hidden="1">{"Fiesta Facer Page",#N/A,FALSE,"Q_C_S";"Fiesta Main Page",#N/A,FALSE,"V_L";"Fiesta 95BP Struct",#N/A,FALSE,"StructBP";"Fiesta Post 95BP Struct",#N/A,FALSE,"AdjStructBP"}</definedName>
    <definedName name="qerbg" hidden="1">{"Fiesta Facer Page",#N/A,FALSE,"Q_C_S";"Fiesta Main Page",#N/A,FALSE,"V_L";"Fiesta 95BP Struct",#N/A,FALSE,"StructBP";"Fiesta Post 95BP Struct",#N/A,FALSE,"AdjStructBP"}</definedName>
    <definedName name="qerbg_1" hidden="1">{"Fiesta Facer Page",#N/A,FALSE,"Q_C_S";"Fiesta Main Page",#N/A,FALSE,"V_L";"Fiesta 95BP Struct",#N/A,FALSE,"StructBP";"Fiesta Post 95BP Struct",#N/A,FALSE,"AdjStructBP"}</definedName>
    <definedName name="qerbg_2" hidden="1">{"Fiesta Facer Page",#N/A,FALSE,"Q_C_S";"Fiesta Main Page",#N/A,FALSE,"V_L";"Fiesta 95BP Struct",#N/A,FALSE,"StructBP";"Fiesta Post 95BP Struct",#N/A,FALSE,"AdjStructBP"}</definedName>
    <definedName name="qerbg_3" hidden="1">{"Fiesta Facer Page",#N/A,FALSE,"Q_C_S";"Fiesta Main Page",#N/A,FALSE,"V_L";"Fiesta 95BP Struct",#N/A,FALSE,"StructBP";"Fiesta Post 95BP Struct",#N/A,FALSE,"AdjStructBP"}</definedName>
    <definedName name="qerwtr" hidden="1">{"Wholesale",#N/A,FALSE,"1+11";"wholesale Mix",#N/A,FALSE,"1+11"}</definedName>
    <definedName name="Raumbedarf">#REF!</definedName>
    <definedName name="raumko">#REF!</definedName>
    <definedName name="Reporting_Calenderisatio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v">#REF!</definedName>
    <definedName name="Revenue">#REF!</definedName>
    <definedName name="ri" hidden="1">{"Fiesta Facer Page",#N/A,FALSE,"Q_C_S";"Fiesta Main Page",#N/A,FALSE,"V_L";"Fiesta 95BP Struct",#N/A,FALSE,"StructBP";"Fiesta Post 95BP Struct",#N/A,FALSE,"AdjStructBP"}</definedName>
    <definedName name="rr" hidden="1">{"Fiesta Facer Page",#N/A,FALSE,"Q_C_S";"Fiesta Main Page",#N/A,FALSE,"V_L";"Fiesta 95BP Struct",#N/A,FALSE,"StructBP";"Fiesta Post 95BP Struct",#N/A,FALSE,"AdjStructBP"}</definedName>
    <definedName name="rt" hidden="1">{"Fiesta Facer Page",#N/A,FALSE,"Q_C_S";"Fiesta Main Page",#N/A,FALSE,"V_L";"Fiesta 95BP Struct",#N/A,FALSE,"StructBP";"Fiesta Post 95BP Struct",#N/A,FALSE,"AdjStructBP"}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z" hidden="1">{"Presentation",#N/A,FALSE,"Feb96 - ALL"}</definedName>
    <definedName name="s">#REF!</definedName>
    <definedName name="SAPBEXdnldView" hidden="1">"ETO11C3HM2OLC16ILQCFS0KAR"</definedName>
    <definedName name="SAPBEXhrIndnt" hidden="1">"Wide"</definedName>
    <definedName name="SAPBEXrevision" hidden="1">1</definedName>
    <definedName name="SAPBEXsysID" hidden="1">"EP1"</definedName>
    <definedName name="SAPBEXwbID" hidden="1">"42MPP0XBQITTL1GUE0VAJ715S"</definedName>
    <definedName name="SAPsysID" hidden="1">"708C5W7SBKP804JT78WJ0JNKI"</definedName>
    <definedName name="SAPwbID" hidden="1">"ARS"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cenario">#REF!</definedName>
    <definedName name="Scenarios">#REF!</definedName>
    <definedName name="scenarios1">#REF!</definedName>
    <definedName name="ScenrioLookup">#REF!</definedName>
    <definedName name="s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s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sdfsf" hidden="1">{#N/A,#N/A,FALSE,"UW152PPL"}</definedName>
    <definedName name="sdgrh" hidden="1">{#N/A,#N/A,FALSE,"SMT1";#N/A,#N/A,FALSE,"SMT2";#N/A,#N/A,FALSE,"Summary";#N/A,#N/A,FALSE,"Graphs";#N/A,#N/A,FALSE,"4 Panel"}</definedName>
    <definedName name="sectionNames">#REF!</definedName>
    <definedName name="Segment">#REF!</definedName>
    <definedName name="seit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seit_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Select_members">#N/A</definedName>
    <definedName name="sencount" hidden="1">2</definedName>
    <definedName name="SEVEN">#N/A</definedName>
    <definedName name="SFirma">#REF!</definedName>
    <definedName name="sfsdfgg" hidden="1">{"Production",#N/A,FALSE,"1+11";"Production Mix",#N/A,FALSE,"1+11"}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IX">#N/A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olver_adj" localSheetId="0" hidden="1">'8月'!$K$3:$K$17,'8月'!$K$27:$K$41,'8月'!$K$51:$K$65,'8月'!$K$75:$K$89</definedName>
    <definedName name="solver_cvg" localSheetId="0" hidden="1">0.0001</definedName>
    <definedName name="solver_drv" localSheetId="0" hidden="1">1</definedName>
    <definedName name="solver_drv" hidden="1">1</definedName>
    <definedName name="solver_eng" localSheetId="0" hidden="1">1</definedName>
    <definedName name="solver_est" localSheetId="0" hidden="1">1</definedName>
    <definedName name="solver_est" hidden="1">1</definedName>
    <definedName name="solver_itr" localSheetId="0" hidden="1">2147483647</definedName>
    <definedName name="solver_itr" hidden="1">100</definedName>
    <definedName name="solver_lhs1" localSheetId="0" hidden="1">'8月'!$T$3:$T$42</definedName>
    <definedName name="solver_lhs10" localSheetId="0" hidden="1">'8月'!$K$75:$K$89</definedName>
    <definedName name="solver_lhs11" localSheetId="0" hidden="1">'8月'!$K$75:$K$89</definedName>
    <definedName name="solver_lhs12" localSheetId="0" hidden="1">'8月'!$T$3:$T$21</definedName>
    <definedName name="solver_lhs13" localSheetId="0" hidden="1">'8月'!$T$7:$T$21</definedName>
    <definedName name="solver_lhs14" localSheetId="0" hidden="1">'8月'!$T$6:$T$61</definedName>
    <definedName name="solver_lhs15" localSheetId="0" hidden="1">'8月'!$T$6:$T$61</definedName>
    <definedName name="solver_lhs16" localSheetId="0" hidden="1">'8月'!$T$6:$T$61</definedName>
    <definedName name="solver_lhs17" localSheetId="0" hidden="1">'8月'!$T$6:$T$61</definedName>
    <definedName name="solver_lhs2" localSheetId="0" hidden="1">'8月'!$T$3:$T$42</definedName>
    <definedName name="solver_lhs3" localSheetId="0" hidden="1">'8月'!$K$112:$K$130</definedName>
    <definedName name="solver_lhs4" localSheetId="0" hidden="1">'8月'!$K$27:$K$41</definedName>
    <definedName name="solver_lhs5" localSheetId="0" hidden="1">'8月'!$K$27:$K$41</definedName>
    <definedName name="solver_lhs6" localSheetId="0" hidden="1">'8月'!$K$3:$K$17</definedName>
    <definedName name="solver_lhs7" localSheetId="0" hidden="1">'8月'!$K$3:$K$17</definedName>
    <definedName name="solver_lhs8" localSheetId="0" hidden="1">'8月'!$K$51:$K$65</definedName>
    <definedName name="solver_lhs9" localSheetId="0" hidden="1">'8月'!$K$51:$K$65</definedName>
    <definedName name="solver_lin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1</definedName>
    <definedName name="solver_nod" localSheetId="0" hidden="1">2147483647</definedName>
    <definedName name="solver_num" localSheetId="0" hidden="1">11</definedName>
    <definedName name="solver_num" hidden="1">0</definedName>
    <definedName name="solver_nwt" localSheetId="0" hidden="1">1</definedName>
    <definedName name="solver_nwt" hidden="1">1</definedName>
    <definedName name="solver_opt" localSheetId="0" hidden="1">'8月'!$R$2</definedName>
    <definedName name="solver_pre" localSheetId="0" hidden="1">0.0001</definedName>
    <definedName name="solver_pre" hidden="1">0.000001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11" localSheetId="0" hidden="1">3</definedName>
    <definedName name="solver_rel12" localSheetId="0" hidden="1">3</definedName>
    <definedName name="solver_rel13" localSheetId="0" hidden="1">3</definedName>
    <definedName name="solver_rel14" localSheetId="0" hidden="1">3</definedName>
    <definedName name="solver_rel15" localSheetId="0" hidden="1">3</definedName>
    <definedName name="solver_rel16" localSheetId="0" hidden="1">3</definedName>
    <definedName name="solver_rel17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el7" localSheetId="0" hidden="1">3</definedName>
    <definedName name="solver_rel8" localSheetId="0" hidden="1">1</definedName>
    <definedName name="solver_rel9" localSheetId="0" hidden="1">3</definedName>
    <definedName name="solver_rhs1" localSheetId="0" hidden="1">'8月'!$U$3:$U$42</definedName>
    <definedName name="solver_rhs10" localSheetId="0" hidden="1">'8月'!$L$75:$L$89</definedName>
    <definedName name="solver_rhs11" localSheetId="0" hidden="1">'8月'!$M$75:$M$89</definedName>
    <definedName name="solver_rhs12" localSheetId="0" hidden="1">'8月'!$V$3:$V$21</definedName>
    <definedName name="solver_rhs13" localSheetId="0" hidden="1">'8月'!$V$7:$V$21</definedName>
    <definedName name="solver_rhs14" localSheetId="0" hidden="1">'8月'!$V$6:$V$61</definedName>
    <definedName name="solver_rhs15" localSheetId="0" hidden="1">'8月'!$V$6:$V$61</definedName>
    <definedName name="solver_rhs16" localSheetId="0" hidden="1">'8月'!$V$6:$V$61</definedName>
    <definedName name="solver_rhs17" localSheetId="0" hidden="1">'8月'!$V$6:$V$61</definedName>
    <definedName name="solver_rhs2" localSheetId="0" hidden="1">'8月'!$V$3:$V$42</definedName>
    <definedName name="solver_rhs3" localSheetId="0" hidden="1">'8月'!$L$112:$L$130</definedName>
    <definedName name="solver_rhs4" localSheetId="0" hidden="1">'8月'!$L$27:$L$41</definedName>
    <definedName name="solver_rhs5" localSheetId="0" hidden="1">'8月'!$M$27:$M$41</definedName>
    <definedName name="solver_rhs6" localSheetId="0" hidden="1">'8月'!$L$3:$L$17</definedName>
    <definedName name="solver_rhs7" localSheetId="0" hidden="1">'8月'!$M$3:$M$17</definedName>
    <definedName name="solver_rhs8" localSheetId="0" hidden="1">'8月'!$L$51:$L$65</definedName>
    <definedName name="solver_rhs9" localSheetId="0" hidden="1">'8月'!$M$51:$M$65</definedName>
    <definedName name="solver_rlx" localSheetId="0" hidden="1">2</definedName>
    <definedName name="solver_rsd" localSheetId="0" hidden="1">10</definedName>
    <definedName name="solver_scl" localSheetId="0" hidden="1">1</definedName>
    <definedName name="solver_scl" hidden="1">2</definedName>
    <definedName name="solver_sho" localSheetId="0" hidden="1">2</definedName>
    <definedName name="solver_sho" hidden="1">2</definedName>
    <definedName name="solver_ssz" localSheetId="0" hidden="1">10</definedName>
    <definedName name="solver_tim" localSheetId="0" hidden="1">2147483647</definedName>
    <definedName name="solver_tim" hidden="1">100</definedName>
    <definedName name="solver_tol" localSheetId="0" hidden="1">0.01</definedName>
    <definedName name="solver_tol" hidden="1">0.05</definedName>
    <definedName name="solver_typ" localSheetId="0" hidden="1">1</definedName>
    <definedName name="solver_typ" hidden="1">1</definedName>
    <definedName name="solver_val" localSheetId="0" hidden="1">0</definedName>
    <definedName name="solver_val" hidden="1">0</definedName>
    <definedName name="solver_ver" localSheetId="0" hidden="1">3</definedName>
    <definedName name="sop1d">#REF!</definedName>
    <definedName name="SOP1J">#REF!</definedName>
    <definedName name="SOP1M">#REF!</definedName>
    <definedName name="sop1t">#REF!</definedName>
    <definedName name="sop2d">#REF!</definedName>
    <definedName name="SOP2J">#REF!</definedName>
    <definedName name="SOP2M">#REF!</definedName>
    <definedName name="sop2t">#REF!</definedName>
    <definedName name="sop3d">#REF!</definedName>
    <definedName name="SOP3J">#REF!</definedName>
    <definedName name="SOP3M">#REF!</definedName>
    <definedName name="sop3t">#REF!</definedName>
    <definedName name="sop4d">#REF!</definedName>
    <definedName name="SOP4J">#REF!</definedName>
    <definedName name="SOP4M">#REF!</definedName>
    <definedName name="sop4t">#REF!</definedName>
    <definedName name="SOPJf">#REF!</definedName>
    <definedName name="SrtCut">#REF!</definedName>
    <definedName name="Strombedarf">#REF!</definedName>
    <definedName name="subdept">#REF!</definedName>
    <definedName name="Subheader">#REF!</definedName>
    <definedName name="SubTotal">#N/A</definedName>
    <definedName name="Technologie">#REF!</definedName>
    <definedName name="Terex">#REF!</definedName>
    <definedName name="test" hidden="1">{#N/A,#N/A,FALSE,"Assumptions";#N/A,#N/A,FALSE,"Volumes";#N/A,#N/A,FALSE,"Pricing";#N/A,#N/A,FALSE,"Variable Cost";#N/A,#N/A,FALSE,"Investment";#N/A,#N/A,FALSE,"Profitability";#N/A,#N/A,FALSE,"Business Comparison"}</definedName>
    <definedName name="TEST0">#REF!</definedName>
    <definedName name="TEST1">#REF!</definedName>
    <definedName name="TEST2">#REF!</definedName>
    <definedName name="test3" hidden="1">{#N/A,#N/A,FALSE,"Profit Status";#N/A,#N/A,FALSE,"Invest";#N/A,#N/A,FALSE,"Revenue";#N/A,#N/A,FALSE,"Variable Cost";#N/A,#N/A,FALSE,"Options &amp; Series"}</definedName>
    <definedName name="test3_1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HKEY">#REF!</definedName>
    <definedName name="TESTKEYS">#REF!</definedName>
    <definedName name="TESTVKEY">#REF!</definedName>
    <definedName name="THREE">#N/A</definedName>
    <definedName name="TM1_Date">#REF!</definedName>
    <definedName name="TMSSCATS">#REF!</definedName>
    <definedName name="TRENDACTUAL">#REF!</definedName>
    <definedName name="TWO">#N/A</definedName>
    <definedName name="type">#REF!</definedName>
    <definedName name="UFPrn20031202084259">#REF!</definedName>
    <definedName name="UFPrn20031202085934">#REF!</definedName>
    <definedName name="UFPrn20040106091114">#REF!</definedName>
    <definedName name="UFPrn20040403092434">#REF!</definedName>
    <definedName name="UFPrn20040403092553">#REF!</definedName>
    <definedName name="UFPrn20040607154102">#REF!</definedName>
    <definedName name="UFPrn20040607154704">#REF!</definedName>
    <definedName name="UFPrn20040608101802">#REF!</definedName>
    <definedName name="UFPrn20040707145159">#REF!</definedName>
    <definedName name="UFPrn20040707145740">#REF!</definedName>
    <definedName name="UFPrn20040707145913">#REF!</definedName>
    <definedName name="UFPrn20040707153050">#REF!</definedName>
    <definedName name="UFPrn20041011153402">#N/A</definedName>
    <definedName name="UFPrn20060708163351">#REF!</definedName>
    <definedName name="UFPrn20090213093846">#REF!</definedName>
    <definedName name="UFPrn20090213101751">#REF!</definedName>
    <definedName name="UFPrn20090408085309">#REF!</definedName>
    <definedName name="UFPrn20090409083911">#REF!</definedName>
    <definedName name="UFPrn20090908091709">#REF!</definedName>
    <definedName name="UFPrn20091015102418">#REF!</definedName>
    <definedName name="UFPrn20091107152529">#REF!</definedName>
    <definedName name="Umsatz" hidden="1">{#N/A,#N/A,FALSE,"Umsatz"}</definedName>
    <definedName name="Units">#REF!</definedName>
    <definedName name="uoiho" hidden="1">{"Fiesta Facer Page",#N/A,FALSE,"Q_C_S";"Fiesta Main Page",#N/A,FALSE,"V_L";"Fiesta 95BP Struct",#N/A,FALSE,"StructBP";"Fiesta Post 95BP Struct",#N/A,FALSE,"AdjStructBP"}</definedName>
    <definedName name="uoiho_1" hidden="1">{"Fiesta Facer Page",#N/A,FALSE,"Q_C_S";"Fiesta Main Page",#N/A,FALSE,"V_L";"Fiesta 95BP Struct",#N/A,FALSE,"StructBP";"Fiesta Post 95BP Struct",#N/A,FALSE,"AdjStructBP"}</definedName>
    <definedName name="uoiho_2" hidden="1">{"Fiesta Facer Page",#N/A,FALSE,"Q_C_S";"Fiesta Main Page",#N/A,FALSE,"V_L";"Fiesta 95BP Struct",#N/A,FALSE,"StructBP";"Fiesta Post 95BP Struct",#N/A,FALSE,"AdjStructBP"}</definedName>
    <definedName name="uoiho_3" hidden="1">{"Fiesta Facer Page",#N/A,FALSE,"Q_C_S";"Fiesta Main Page",#N/A,FALSE,"V_L";"Fiesta 95BP Struct",#N/A,FALSE,"StructBP";"Fiesta Post 95BP Struct",#N/A,FALSE,"AdjStructBP"}</definedName>
    <definedName name="UR_Only_TM1">#REF!</definedName>
    <definedName name="UR_Only_Values">#REF!</definedName>
    <definedName name="v" hidden="1">{"Presentation",#N/A,FALSE,"Feb96 - ALL"}</definedName>
    <definedName name="v_1" hidden="1">{"Presentation",#N/A,FALSE,"Feb96 - ALL"}</definedName>
    <definedName name="v_2" hidden="1">{"Presentation",#N/A,FALSE,"Feb96 - ALL"}</definedName>
    <definedName name="v_3" hidden="1">{"Presentation",#N/A,FALSE,"Feb96 - ALL"}</definedName>
    <definedName name="Value">#REF!</definedName>
    <definedName name="varKosten">#REF!</definedName>
    <definedName name="VELHO" hidden="1">{#N/A,#N/A,FALSE,"Assumptions";#N/A,#N/A,FALSE,"Volumes";#N/A,#N/A,FALSE,"Pricing";#N/A,#N/A,FALSE,"Variable Cost";#N/A,#N/A,FALSE,"Investment";#N/A,#N/A,FALSE,"Profitability";#N/A,#N/A,FALSE,"Business Comparison"}</definedName>
    <definedName name="View">#REF!</definedName>
    <definedName name="ViewPeriodic">#REF!</definedName>
    <definedName name="vs_budget" hidden="1">{#N/A,#N/A,FALSE,"BalCash"}</definedName>
    <definedName name="VSP" hidden="1">{"Fiesta Facer Page",#N/A,FALSE,"Q_C_S";"Fiesta Main Page",#N/A,FALSE,"V_L";"Fiesta 95BP Struct",#N/A,FALSE,"StructBP";"Fiesta Post 95BP Struct",#N/A,FALSE,"AdjStructBP"}</definedName>
    <definedName name="vv" hidden="1">{"Fiesta Facer Page",#N/A,FALSE,"Q_C_S";"Fiesta Main Page",#N/A,FALSE,"V_L";"Fiesta 95BP Struct",#N/A,FALSE,"StructBP";"Fiesta Post 95BP Struct",#N/A,FALSE,"AdjStructBP"}</definedName>
    <definedName name="vv_1" hidden="1">{"Fiesta Facer Page",#N/A,FALSE,"Q_C_S";"Fiesta Main Page",#N/A,FALSE,"V_L";"Fiesta 95BP Struct",#N/A,FALSE,"StructBP";"Fiesta Post 95BP Struct",#N/A,FALSE,"AdjStructBP"}</definedName>
    <definedName name="vv_2" hidden="1">{"Fiesta Facer Page",#N/A,FALSE,"Q_C_S";"Fiesta Main Page",#N/A,FALSE,"V_L";"Fiesta 95BP Struct",#N/A,FALSE,"StructBP";"Fiesta Post 95BP Struct",#N/A,FALSE,"AdjStructBP"}</definedName>
    <definedName name="vv_3" hidden="1">{"Fiesta Facer Page",#N/A,FALSE,"Q_C_S";"Fiesta Main Page",#N/A,FALSE,"V_L";"Fiesta 95BP Struct",#N/A,FALSE,"StructBP";"Fiesta Post 95BP Struct",#N/A,FALSE,"AdjStructBP"}</definedName>
    <definedName name="vvv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vv_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vv_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vv_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C">#REF!</definedName>
    <definedName name="WHATISTHIS1" hidden="1">{#N/A,#N/A,FALSE,"431"}</definedName>
    <definedName name="WHATISTHIS2" hidden="1">{#N/A,#N/A,FALSE,"431"}</definedName>
    <definedName name="WHATISTHIS3" hidden="1">{#N/A,#N/A,FALSE,"431"}</definedName>
    <definedName name="WHATISTHIS4" hidden="1">{#N/A,#N/A,FALSE,"431"}</definedName>
    <definedName name="WHATISTHIS5" hidden="1">{#N/A,#N/A,FALSE,"431"}</definedName>
    <definedName name="WorkingCapital" hidden="1">{#N/A,#N/A,FALSE,"Working Capital"}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2." hidden="1">{#N/A,#N/A,FALSE,"italien97+98";#N/A,#N/A,FALSE,"italien 99+2000"}</definedName>
    <definedName name="wrn.12._1" hidden="1">{#N/A,#N/A,FALSE,"italien97+98";#N/A,#N/A,FALSE,"italien 99+2000"}</definedName>
    <definedName name="wrn.97._.Model." hidden="1">{"showrm",#N/A,FALSE,"97 Model";"equipment",#N/A,FALSE,"97 Model"}</definedName>
    <definedName name="wrn.97_.Model.2" hidden="1">{"showrm",#N/A,FALSE,"97 Model";"equipment",#N/A,FALSE,"97 Model"}</definedName>
    <definedName name="wrn.98._.High._.Series." hidden="1">{"showroom",#N/A,FALSE,"98 Model";"equipment",#N/A,FALSE,"98 Model"}</definedName>
    <definedName name="wrn.98._.Low._.Series." hidden="1">{"showroom",#N/A,FALSE,"98 L Model";"equipment",#N/A,FALSE,"98 L Model"}</definedName>
    <definedName name="wrn.98._.VALUE._.ANALYSES." hidden="1">{#VALUE!,#N/A,FALSE,0;#N/A,#N/A,FALSE,0;#N/A,#N/A,FALSE,0;#N/A,#N/A,FALSE,0}</definedName>
    <definedName name="wrn.99._.Model._.High." hidden="1">{"showroom",#N/A,FALSE,"99 Model High";"equipment",#N/A,FALSE,"99 Model High"}</definedName>
    <definedName name="wrn.99._.Model._.Low." hidden="1">{"showroom",#N/A,FALSE,"99 Model Low";"equipment",#N/A,FALSE,"99 Model Low"}</definedName>
    <definedName name="wrn.99_.Model._Low.2" hidden="1">{"showroom",#N/A,FALSE,"99 Model Low";"equipment",#N/A,FALSE,"99 Model Low"}</definedName>
    <definedName name="wrn.afa." hidden="1">{#N/A,#N/A,FALSE,"afa linear";#N/A,#N/A,FALSE,"mit 10% zuschuss";#N/A,#N/A,FALSE,"mit 25% zuschuss"}</definedName>
    <definedName name="wrn.afa._1" hidden="1">{#N/A,#N/A,FALSE,"afa linear";#N/A,#N/A,FALSE,"mit 10% zuschuss";#N/A,#N/A,FALSE,"mit 25% zuschuss"}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ll." hidden="1">{"Fiesta Facer Page",#N/A,FALSE,"Q_C_S";"Fiesta Main Page",#N/A,FALSE,"V_L";"Fiesta 95BP Struct",#N/A,FALSE,"StructBP";"Fiesta Post 95BP Struct",#N/A,FALSE,"AdjStructBP"}</definedName>
    <definedName name="wrn.All._1" hidden="1">{"Fiesta Facer Page",#N/A,FALSE,"Q_C_S";"Fiesta Main Page",#N/A,FALSE,"V_L";"Fiesta 95BP Struct",#N/A,FALSE,"StructBP";"Fiesta Post 95BP Struct",#N/A,FALSE,"AdjStructBP"}</definedName>
    <definedName name="wrn.All._2" hidden="1">{"Fiesta Facer Page",#N/A,FALSE,"Q_C_S";"Fiesta Main Page",#N/A,FALSE,"V_L";"Fiesta 95BP Struct",#N/A,FALSE,"StructBP";"Fiesta Post 95BP Struct",#N/A,FALSE,"AdjStructBP"}</definedName>
    <definedName name="wrn.All._3" hidden="1">{"Fiesta Facer Page",#N/A,FALSE,"Q_C_S";"Fiesta Main Page",#N/A,FALSE,"V_L";"Fiesta 95BP Struct",#N/A,FALSE,"StructBP";"Fiesta Post 95BP Struct",#N/A,FALSE,"AdjStructBP"}</definedName>
    <definedName name="wrn.AUDI._.Invest." hidden="1">{#N/A,#N/A,FALSE,"Gruppe Gesamt 1. Änderung";#N/A,#N/A,FALSE,"ZWN 1. Änderung";#N/A,#N/A,FALSE,"GETRAG LB Ursprung";#N/A,#N/A,FALSE,"GETRAG Rosenbg. Ursprung ";#N/A,#N/A,FALSE,"GST  Ursprung";#N/A,#N/A,FALSE,"FZ 1. Änderung"}</definedName>
    <definedName name="wrn.AUDI._.Invest._1" hidden="1">{#N/A,#N/A,FALSE,"Gruppe Gesamt 1. Änderung";#N/A,#N/A,FALSE,"ZWN 1. Änderung";#N/A,#N/A,FALSE,"GETRAG LB Ursprung";#N/A,#N/A,FALSE,"GETRAG Rosenbg. Ursprung ";#N/A,#N/A,FALSE,"GST  Ursprung";#N/A,#N/A,FALSE,"FZ 1. Änderung"}</definedName>
    <definedName name="wrn.AUS._.Total._.Function." hidden="1">{"AUS",#N/A,FALSE,"Full Year By Funct"}</definedName>
    <definedName name="wrn.Avrev." hidden="1">{"avrev",#N/A,FALSE,"AVREV";"rates",#N/A,FALSE,"AVREV"}</definedName>
    <definedName name="wrn.B281._.Profit._.and._.Loss._.per._.LoB." hidden="1">{"premier mois",#N/A,TRUE,"SRF B281";"deuxième mois",#N/A,TRUE,"SRF B281";"troisième mois",#N/A,TRUE,"SRF B281";"quatrième mois",#N/A,TRUE,"SRF B281";"cinquième mois",#N/A,TRUE,"SRF B281";"sixième mois",#N/A,TRUE,"SRF B281";"septième mois",#N/A,TRUE,"SRF B281";"huitième mois",#N/A,TRUE,"SRF B281";"neuvième mois",#N/A,TRUE,"SRF B281";"dixième mois",#N/A,TRUE,"SRF B281";"onzième mois",#N/A,TRUE,"SRF B281";"douzième mois",#N/A,TRUE,"SRF B281"}</definedName>
    <definedName name="wrn.balsheet." hidden="1">{#N/A,#N/A,FALSE,"BalCash"}</definedName>
    <definedName name="wrn.BE." hidden="1">{#N/A,#N/A,FALSE,"Betr.ergebnis"}</definedName>
    <definedName name="wrn.Bestände." hidden="1">{#N/A,#N/A,FALSE,"Bestände"}</definedName>
    <definedName name="wrn.Betriebsleistung." hidden="1">{#N/A,#N/A,FALSE,"Betr.leistung"}</definedName>
    <definedName name="wrn.bil1.2." hidden="1">{#N/A,#N/A,FALSE,"BIL.1.2"}</definedName>
    <definedName name="wrn.Bilanzergebnis." hidden="1">{#N/A,#N/A,FALSE,"Bil.ergebnis"}</definedName>
    <definedName name="wrn.BISYEingabe." hidden="1">{#N/A,#N/A,FALSE,"BISY-Eingabe"}</definedName>
    <definedName name="wrn.Book." hidden="1">{"EVA",#N/A,FALSE,"SMT2";#N/A,#N/A,FALSE,"Summary";#N/A,#N/A,FALSE,"Graphs";#N/A,#N/A,FALSE,"4 Panel"}</definedName>
    <definedName name="wrn.casubont." hidden="1">{#N/A,#N/A,FALSE,"expense";#N/A,#N/A,FALSE,"heads"}</definedName>
    <definedName name="wrn.cie." hidden="1">{#N/A,#N/A,FALSE,"cie97+98";#N/A,#N/A,FALSE,"cie 99+2000 ";#N/A,#N/A,FALSE,"gesamt"}</definedName>
    <definedName name="wrn.cie._1" hidden="1">{#N/A,#N/A,FALSE,"cie97+98";#N/A,#N/A,FALSE,"cie 99+2000 ";#N/A,#N/A,FALSE,"gesamt"}</definedName>
    <definedName name="wrn.COMPARISON." hidden="1">{"COMPARISON",#N/A,FALSE,"Sheet1"}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verages._.per._.Cost._.Center." hidden="1">{"Grand total",#N/A,TRUE,"Coverages";"L cluster",#N/A,TRUE,"Coverages";"P cluster",#N/A,TRUE,"Coverages";"R cluster",#N/A,TRUE,"Coverages";"R one cluster",#N/A,TRUE,"Coverages";"S cluster",#N/A,TRUE,"Coverages";"E cluster",#N/A,TRUE,"Coverages";"M cluster",#N/A,TRUE,"Coverages";"M one cluster",#N/A,TRUE,"Coverages";"M two and M three clusters",#N/A,TRUE,"Coverages";"M four cluster",#N/A,TRUE,"Coverages";"H cluster",#N/A,TRUE,"Coverages";"C cluster",#N/A,TRUE,"Coverages";"F cluster",#N/A,TRUE,"Coverages";"G cluster",#N/A,TRUE,"Coverages";"T cluster",#N/A,TRUE,"Coverages";"Q cluster",#N/A,TRUE,"Coverages"}</definedName>
    <definedName name="wrn.dave." hidden="1">{"salaried",#N/A,FALSE,"VLD View (2)"}</definedName>
    <definedName name="wrn.Deckblatt." hidden="1">{#N/A,#N/A,FALSE,"Status";#N/A,#N/A,FALSE,"Deckblatt 1";#N/A,#N/A,FALSE,"Deckblatt2"}</definedName>
    <definedName name="wrn.Druck." hidden="1">{#N/A,#N/A,FALSE,"Bil 1";#N/A,#N/A,FALSE,"Bil 1.1";#N/A,#N/A,FALSE,"Bil 1.2 ";#N/A,#N/A,FALSE,"Bil 2";#N/A,#N/A,FALSE,"Bil 2.1";#N/A,#N/A,FALSE,"Bil D 6"}</definedName>
    <definedName name="wrn.druck._.mtl.." hidden="1">{#N/A,#N/A,FALSE,"BIL_1";#N/A,#N/A,FALSE,"BIL_1-1";#N/A,#N/A,FALSE,"BIL_1-2";#N/A,#N/A,FALSE,"BIL_2";#N/A,#N/A,FALSE,"BIL_2-1";#N/A,#N/A,FALSE,"BIL_2-2";#N/A,#N/A,FALSE,"BIL_D6 "}</definedName>
    <definedName name="wrn.Expenses._.per._.Business._.Segment." hidden="1">{"Business segments and check",#N/A,FALSE,"Coverages"}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eb." hidden="1">{#N/A,#N/A,FALSE,"431"}</definedName>
    <definedName name="wrn.fixkosten." hidden="1">{"fixkosten",#N/A,FALSE,"Gesamt"}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tvetqet." hidden="1">{"G cluster",#N/A,FALSE,"Coverages";"M four cluster",#N/A,FALSE,"Coverages";"M one cluster",#N/A,FALSE,"Coverages";"M two and M three clusters",#N/A,FALSE,"Coverages";"T cluster",#N/A,FALSE,"Coverages";"F cluster",#N/A,FALSE,"Coverages";"C cluster",#N/A,FALSE,"Coverages"}</definedName>
    <definedName name="wrn.Für._.MB." hidden="1">{"LäV Getriebe Tunnel",#N/A,TRUE,"CostBreakDown";"LäV Getriebe Tür",#N/A,TRUE,"CostBreakDown";"Sitzschiene ZSB Tür",#N/A,TRUE,"CostBreakDown";"Sitzschienen ZSB Tunnel",#N/A,TRUE,"CostBreakDown"}</definedName>
    <definedName name="wrn.Gewerbesteuer." hidden="1">{#N/A,#N/A,FALSE,"Gewerbesteuer"}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GG";#N/A,#N/A,FALSE,"Indien GG";#N/A,#N/A,FALSE,"Kammerer GG";#N/A,#N/A,FALSE,"Kienzle GG";#N/A,#N/A,FALSE,"Malaysia";#N/A,#N/A,FALSE,"Prag GG";#N/A,#N/A,FALSE,"Schweiz GG";#N/A,#N/A,FALSE,"Spanien GG";#N/A,#N/A,FALSE,"USA GG"}</definedName>
    <definedName name="wrn.high." hidden="1">{"msrp",#N/A,FALSE,"SW High";"wsd",#N/A,FALSE,"SW High";"equipment",#N/A,FALSE,"SW High"}</definedName>
    <definedName name="wrn.india." hidden="1">{#N/A,#N/A,FALSE,"India - 3f";#N/A,#N/A,FALSE,"India - 3";#N/A,#N/A,FALSE,"India - 4f";#N/A,#N/A,FALSE,"India - 4";#N/A,#N/A,FALSE,"Retail Spider"}</definedName>
    <definedName name="wrn.Innenumsatz." hidden="1">{#N/A,#N/A,FALSE,"Innenumsatz"}</definedName>
    <definedName name="wrn.Investitionen." hidden="1">{#N/A,#N/A,FALSE,"Investitionen"}</definedName>
    <definedName name="wrn.italien." hidden="1">{#N/A,#N/A,FALSE,"italien97+98";#N/A,#N/A,FALSE,"italien 99+2000"}</definedName>
    <definedName name="wrn.italien._1" hidden="1">{#N/A,#N/A,FALSE,"italien97+98";#N/A,#N/A,FALSE,"italien 99+2000"}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Kostenarten." hidden="1">{#N/A,#N/A,FALSE,"Kosten"}</definedName>
    <definedName name="wrn.ks" hidden="1">{#N/A,#N/A,FALSE,"431"}</definedName>
    <definedName name="wrn.Low." hidden="1">{"msrp",#N/A,FALSE,"SW Low";"wsd",#N/A,FALSE,"SW Low";"equipment",#N/A,FALSE,"SW Low"}</definedName>
    <definedName name="wrn.Low97." hidden="1">{"Leq97",#N/A,FALSE,"97 L Model";"Low97",#N/A,FALSE,"97 L Model"}</definedName>
    <definedName name="wrn.Mandant._.mit._.allen._.sechs._.Sparten.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wrn.Mandant._.mit._.allen._.sechs._.Sparten._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wrn.Mothly._.Percentages._.Summary." hidden="1">{#N/A,#N/A,FALSE,"SumMonth"}</definedName>
    <definedName name="wrn.NML." hidden="1">{#N/A,#N/A,FALSE,"97TCDBOX";#N/A,#N/A,FALSE,"97MYBOX";#N/A,#N/A,FALSE,"SVPTOBOX";#N/A,#N/A,FALSE,"SVPHEBOX";#N/A,#N/A,FALSE,"CASVPBOX"}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ANEL1." hidden="1">{"PANEL1",#N/A,FALSE,"-2+14"}</definedName>
    <definedName name="wrn.PANEL2." hidden="1">{"PANEL2",#N/A,FALSE,"-2+14"}</definedName>
    <definedName name="wrn.Plan._.IX._.01." hidden="1">{#N/A,#N/A,FALSE,"Plan Details"}</definedName>
    <definedName name="wrn.PnL._.PCSI._.per._.LOB._.month." hidden="1">{"SRF PnL PCSI mensualisé","Line of Business AfterMarket",FALSE,"SRF PCSI month";"SRF PnL PCSI mensualisé","Line of Business General Motors",FALSE,"SRF PCSI month";"SRF PnL PCSI mensualisé","Line of Business V.A.G.",FALSE,"SRF PCSI month";"SRF PnL PCSI mensualisé","Line of Business BMW-Rover",FALSE,"SRF PCSI month";"SRF PnL PCSI mensualisé","Line of Business Ford",FALSE,"SRF PCSI month";"SRF PnL PCSI mensualisé","Line of Business Renault",FALSE,"SRF PCSI month";"SRF PnL PCSI mensualisé","Line of Business PSA",FALSE,"SRF PCSI month";"SRF PnL PCSI mensualisé","Other LoBs : Toyota, ",FALSE,"SRF PCSI month";"SRF PnL PCSI mensualisé","Expenses to be consolidated at P.D. Level",FALSE,"SRF PCSI month";"SRF PnL PCSI mensualisé","Total ICC Rambouillet + DSEA",FALSE,"SRF PCSI month"}</definedName>
    <definedName name="wrn.Presentation." hidden="1">{"Presentation",#N/A,FALSE,"Feb96 - ALL"}</definedName>
    <definedName name="wrn.Presentation._1" hidden="1">{"Presentation",#N/A,FALSE,"Feb96 - ALL"}</definedName>
    <definedName name="wrn.Presentation._2" hidden="1">{"Presentation",#N/A,FALSE,"Feb96 - ALL"}</definedName>
    <definedName name="wrn.Presentation._3" hidden="1">{"Presentation",#N/A,FALSE,"Feb96 - ALL"}</definedName>
    <definedName name="wrn.Primary._.Costs._.per._.year." hidden="1">{"A to Z total",#N/A,TRUE,"Year 1998";"LoB cluster yearly",#N/A,TRUE,"Year 1998";"P total",#N/A,TRUE,"Year 1998";"R total",#N/A,TRUE,"Year 1998";"R one yearly",#N/A,TRUE,"Year 1998";"D total",#N/A,TRUE,"Year 1998";"S total",#N/A,TRUE,"Year 1998";"E total",#N/A,TRUE,"Year 1998";"M total",#N/A,TRUE,"Year 1998";"M one total",#N/A,TRUE,"Year 1998";"M four total",#N/A,TRUE,"Year 1998";"H and C total",#N/A,TRUE,"Year 1998";"F total",#N/A,TRUE,"Year 1998";"G total",#N/A,TRUE,"Year 1998";"T total",#N/A,TRUE,"Year 1998";"Q total",#N/A,TRUE,"Year 1998"}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Quarterly._.Percentages._.Summary." hidden="1">{#N/A,#N/A,FALSE,"SumMonth";#N/A,#N/A,FALSE,"SumMonth"}</definedName>
    <definedName name="wrn.resultado_resumen." hidden="1">{"resultado_resumen",#N/A,FALSE}</definedName>
    <definedName name="wrn.resultado_total." hidden="1">{"resultado completo",#N/A,FALSE}</definedName>
    <definedName name="wrn.REVISED." hidden="1">{"REVISED",#N/A,FALSE,"Sheet1"}</definedName>
    <definedName name="wrn.saltavg." hidden="1">{"rates",#N/A,FALSE,"saltavg";"rev",#N/A,FALSE,"saltavg"}</definedName>
    <definedName name="wrn.Series." hidden="1">{"Revenue",#N/A,FALSE,"Series";"Ecprofit",#N/A,FALSE,"Series"}</definedName>
    <definedName name="wrn.spepalt." hidden="1">{"sedan",#N/A,FALSE,"spepalt";"wgs",#N/A,FALSE,"spepalt"}</definedName>
    <definedName name="wrn.Spiders." hidden="1">{"lowsp",#N/A,FALSE,"Spiders";"highsp",#N/A,FALSE,"Spiders"}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TAVGCS2." hidden="1">{"rates",#N/A,FALSE,"tavgcs#2";"rev",#N/A,FALSE,"tavgcs#2"}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_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_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_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stbericht." hidden="1">{#N/A,#N/A,FALSE,"Bilanz"}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pepsum4a." hidden="1">{"sedan",#N/A,FALSE,"tpepsum4a";"wag",#N/A,FALSE,"tpepsum4a"}</definedName>
    <definedName name="wrn.Umsatz." hidden="1">{#N/A,#N/A,FALSE,"Umsatz"}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eight." hidden="1">{#N/A,#N/A,FALSE,"UW152PPL"}</definedName>
    <definedName name="wrn.Wholesale._.Report." hidden="1">{"Wholesale",#N/A,FALSE,"1+11";"wholesale Mix",#N/A,FALSE,"1+11"}</definedName>
    <definedName name="wrn.Working._.Capital." hidden="1">{#N/A,#N/A,FALSE,"Working Capital"}</definedName>
    <definedName name="wvu._Current_." hidden="1">{TRUE,TRUE,-2,-16.25,486,281.25,FALSE,FALSE,TRUE,TRUE,0,1,22,6,8,4,2,4,TRUE,TRUE,3,TRUE,1,TRUE,100,"Swvu._Current_.","ACwvu._Current_.",1,FALSE,FALSE,0.196850393700787,0.196850393700787,0.31496062992126,0.708661417322835,1,"","&amp;LAT AF/ Neumann&amp;CPage &amp;P&amp;R&amp;D   &amp;T   ",FALSE,FALSE,FALSE,FALSE,1,100,#N/A,#N/A,"=R8C1:R460C22","=R1:R7","Rwvu._Current_.",#N/A,FALSE,FALSE}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resultado._.completo." hidden="1">{TRUE,FALSE,-2,-16.25,486,281.25,FALSE,FALSE,TRUE,TRUE,0,1,5,6,8,4,2,4,TRUE,TRUE,3,TRUE,1,TRUE,100,"Swvu.resultado._.completo.","ACwvu.resultado._.completo.",1,FALSE,FALSE,0.196850393700787,0.196850393700787,0.31496062992126,0.708661417322835,1,"","&amp;LAT AF/ Neumann&amp;CPage &amp;P&amp;R&amp;D   &amp;T   ",FALSE,FALSE,FALSE,FALSE,1,100,#N/A,#N/A,"=R8C1:R460C22","=R1:R7",FALSE,FALSE,FALSE,FALSE}</definedName>
    <definedName name="wvu.resultado._.resumen." hidden="1">{TRUE,FALSE,-2,-16.25,486,281.25,FALSE,FALSE,TRUE,TRUE,0,1,5,6,8,4,2,4,TRUE,TRUE,3,TRUE,1,TRUE,100,"Swvu.resultado._.resumen.","ACwvu.resultado._.resumen.",1,FALSE,FALSE,0.196850393700787,0.196850393700787,0.31496062992126,0.708661417322835,1,"","&amp;LAT AF/ Neumann&amp;CPage &amp;P&amp;R&amp;D   &amp;T   ",FALSE,FALSE,FALSE,FALSE,1,100,#N/A,#N/A,"=R8C1:R460C22","=R1:R7",FALSE,FALSE,FALSE,FALSE}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wwwwwwwwwwwwwwwwww" hidden="1">{"Fiesta Facer Page",#N/A,FALSE,"Q_C_S";"Fiesta Main Page",#N/A,FALSE,"V_L";"Fiesta 95BP Struct",#N/A,FALSE,"StructBP";"Fiesta Post 95BP Struct",#N/A,FALSE,"AdjStructBP"}</definedName>
    <definedName name="wwwwwwwwwwwwwwwwwww_1" hidden="1">{"Fiesta Facer Page",#N/A,FALSE,"Q_C_S";"Fiesta Main Page",#N/A,FALSE,"V_L";"Fiesta 95BP Struct",#N/A,FALSE,"StructBP";"Fiesta Post 95BP Struct",#N/A,FALSE,"AdjStructBP"}</definedName>
    <definedName name="wwwwwwwwwwwwwwwwwww_2" hidden="1">{"Fiesta Facer Page",#N/A,FALSE,"Q_C_S";"Fiesta Main Page",#N/A,FALSE,"V_L";"Fiesta 95BP Struct",#N/A,FALSE,"StructBP";"Fiesta Post 95BP Struct",#N/A,FALSE,"AdjStructBP"}</definedName>
    <definedName name="wwwwwwwwwwwwwwwwwww_3" hidden="1">{"Fiesta Facer Page",#N/A,FALSE,"Q_C_S";"Fiesta Main Page",#N/A,FALSE,"V_L";"Fiesta 95BP Struct",#N/A,FALSE,"StructBP";"Fiesta Post 95BP Struct",#N/A,FALSE,"AdjStructBP"}</definedName>
    <definedName name="wwwwwwwwwwwwwwwwwwwwwwwwwww" hidden="1">{"Fiesta Facer Page",#N/A,FALSE,"Q_C_S";"Fiesta Main Page",#N/A,FALSE,"V_L";"Fiesta 95BP Struct",#N/A,FALSE,"StructBP";"Fiesta Post 95BP Struct",#N/A,FALSE,"AdjStructBP"}</definedName>
    <definedName name="wwwwwwwwwwwwwwwwwwwwwwwwwww_1" hidden="1">{"Fiesta Facer Page",#N/A,FALSE,"Q_C_S";"Fiesta Main Page",#N/A,FALSE,"V_L";"Fiesta 95BP Struct",#N/A,FALSE,"StructBP";"Fiesta Post 95BP Struct",#N/A,FALSE,"AdjStructBP"}</definedName>
    <definedName name="wwwwwwwwwwwwwwwwwwwwwwwwwww_2" hidden="1">{"Fiesta Facer Page",#N/A,FALSE,"Q_C_S";"Fiesta Main Page",#N/A,FALSE,"V_L";"Fiesta 95BP Struct",#N/A,FALSE,"StructBP";"Fiesta Post 95BP Struct",#N/A,FALSE,"AdjStructBP"}</definedName>
    <definedName name="wwwwwwwwwwwwwwwwwwwwwwwwwww_3" hidden="1">{"Fiesta Facer Page",#N/A,FALSE,"Q_C_S";"Fiesta Main Page",#N/A,FALSE,"V_L";"Fiesta 95BP Struct",#N/A,FALSE,"StructBP";"Fiesta Post 95BP Struct",#N/A,FALSE,"AdjStructBP"}</definedName>
    <definedName name="x" hidden="1">{"Fiesta Facer Page",#N/A,FALSE,"Q_C_S";"Fiesta Main Page",#N/A,FALSE,"V_L";"Fiesta 95BP Struct",#N/A,FALSE,"StructBP";"Fiesta Post 95BP Struct",#N/A,FALSE,"AdjStructBP"}</definedName>
    <definedName name="x_1" hidden="1">{"Fiesta Facer Page",#N/A,FALSE,"Q_C_S";"Fiesta Main Page",#N/A,FALSE,"V_L";"Fiesta 95BP Struct",#N/A,FALSE,"StructBP";"Fiesta Post 95BP Struct",#N/A,FALSE,"AdjStructBP"}</definedName>
    <definedName name="x_2" hidden="1">{"Fiesta Facer Page",#N/A,FALSE,"Q_C_S";"Fiesta Main Page",#N/A,FALSE,"V_L";"Fiesta 95BP Struct",#N/A,FALSE,"StructBP";"Fiesta Post 95BP Struct",#N/A,FALSE,"AdjStructBP"}</definedName>
    <definedName name="x_3" hidden="1">{"Fiesta Facer Page",#N/A,FALSE,"Q_C_S";"Fiesta Main Page",#N/A,FALSE,"V_L";"Fiesta 95BP Struct",#N/A,FALSE,"StructBP";"Fiesta Post 95BP Struct",#N/A,FALSE,"AdjStructBP"}</definedName>
    <definedName name="xx" hidden="1">#N/A</definedName>
    <definedName name="xx_1" hidden="1">{#N/A,#N/A,FALSE,"Assumptions";#N/A,#N/A,FALSE,"Volumes";#N/A,#N/A,FALSE,"Pricing";#N/A,#N/A,FALSE,"Variable Cost";#N/A,#N/A,FALSE,"Investment";#N/A,#N/A,FALSE,"Profitability";#N/A,#N/A,FALSE,"Business Comparison"}</definedName>
    <definedName name="xxx" hidden="1">{"_10","Grand_total","_10","_6010","_10","_6015","_10","_6016","_80","_6018","_10","_20","_6020","_10","_6021","_10","_6031","_10","_6032","_10","_6034","_20","_6035","_10","_6040","_10","_6042","_10","_6060","_10","_20","_30","_6070","_10","_20","_6075","_10","_20","_30","_40","_6081","_10","_6111","_10","_20","_90","_6112","_10","_20","_6113","_10","_6120","_10","_6122","_10","_6131","_10","_6148","_10","_6153","_10","_6154","_10","_20","_40","_6161","_10","_6163","_10","_6170","_10","_6190","_10","_90","_6200","_10","_6211","_10","_6212","_10","_6213","_10","_6214","_10","_20","_6215","_10","_6216","_10","_6217","_10","_6218","_10","_20","_6220","_10","_20","_6225","_10","_20","_6226","_10","_30","_6227","_10","_20","_80","_6228","_10","_20","_30","_40","_6231","_10","_20","_30","_40","_6232","_10","_20","_30","_6234","_10","_6236","_90","_6239","_10","_20","_6261","_10","_20","_6265","_10","_20","_6267","_20","_30","_90","_6269","_10","_20","_30","_40","_50","_60","_70","_6290","_10","_20","_30","_60","_70","_6292","_90","_6299","_10","_6310","_10","_20","_90","_6311","_10","_20","_30","_6313","_10","_20","_30","_40","_50","_60","_70","_80","_90","_6315","_10","_6341","_20","_6391","_10","_6392","_10","_20","_6393","_90","_6399","_10","_20","_30","_6401","_10","_6412","_10","_6416","_10","_60","_70","_90","_6419","_10","_6421","_10","_6422","_10","_6423","_10","_6424","_10","_30","_90","_6429","_10","_20","_30","_6431","_10","_20","_6432","_10","_20","_30","_6441","_10","_6451","_10","_20","_30","_6471","_20","_6510","_10","_6520","_10","_30","_6597","_10","_40","_60","_70","_6598","_10","_20","_30","_40","_50","_80","_6599","_10","_6600","_10","_6601","_10","_6611","_10","_20","_30"}</definedName>
    <definedName name="xxx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xxx1_1" hidden="1">{#N/A,#N/A,TRUE,"Erfassungsbogen";#N/A,#N/A,TRUE,"Auswertung PA";#N/A,#N/A,TRUE,"Auswertung BB";#N/A,#N/A,TRUE,"Auswertung BE";#N/A,#N/A,TRUE,"Auswertung DSR";#N/A,#N/A,TRUE,"Auswertung KS";#N/A,#N/A,TRUE,"Auswertung CS";#N/A,#N/A,TRUE,"Auswertung Gesamt";#N/A,#N/A,TRUE,"Proz.v. Ges.ums-aufw-ertrag";#N/A,#N/A,TRUE,"Leistungen pro Mitarbeiter"}</definedName>
    <definedName name="xxxx" hidden="1">#N/A</definedName>
    <definedName name="xxxx_1" hidden="1">{#N/A,#N/A,FALSE,"afa linear";#N/A,#N/A,FALSE,"mit 10% zuschuss";#N/A,#N/A,FALSE,"mit 25% zuschuss"}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xxxxxxxxxx" hidden="1">{"Presentation",#N/A,FALSE,"Feb96 - ALL"}</definedName>
    <definedName name="xxxxxxxxxxxxxxxxxxxxx_1" hidden="1">{"Presentation",#N/A,FALSE,"Feb96 - ALL"}</definedName>
    <definedName name="xxxxxxxxxxxxxxxxxxxxx_2" hidden="1">{"Presentation",#N/A,FALSE,"Feb96 - ALL"}</definedName>
    <definedName name="xxxxxxxxxxxxxxxxxxxxx_3" hidden="1">{"Presentation",#N/A,FALSE,"Feb96 - ALL"}</definedName>
    <definedName name="xxxxxxxxxxxxxxxxxxxxxx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_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_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_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z" hidden="1">{"Fiesta Facer Page",#N/A,FALSE,"Q_C_S";"Fiesta Main Page",#N/A,FALSE,"V_L";"Fiesta 95BP Struct",#N/A,FALSE,"StructBP";"Fiesta Post 95BP Struct",#N/A,FALSE,"AdjStructBP"}</definedName>
    <definedName name="xyz_1" hidden="1">{"Fiesta Facer Page",#N/A,FALSE,"Q_C_S";"Fiesta Main Page",#N/A,FALSE,"V_L";"Fiesta 95BP Struct",#N/A,FALSE,"StructBP";"Fiesta Post 95BP Struct",#N/A,FALSE,"AdjStructBP"}</definedName>
    <definedName name="xyz_2" hidden="1">{"Fiesta Facer Page",#N/A,FALSE,"Q_C_S";"Fiesta Main Page",#N/A,FALSE,"V_L";"Fiesta 95BP Struct",#N/A,FALSE,"StructBP";"Fiesta Post 95BP Struct",#N/A,FALSE,"AdjStructBP"}</definedName>
    <definedName name="xyz_3" hidden="1">{"Fiesta Facer Page",#N/A,FALSE,"Q_C_S";"Fiesta Main Page",#N/A,FALSE,"V_L";"Fiesta 95BP Struct",#N/A,FALSE,"StructBP";"Fiesta Post 95BP Struct",#N/A,FALSE,"AdjStructBP"}</definedName>
    <definedName name="Y">#REF!</definedName>
    <definedName name="y_1" hidden="1">{"Presentation",#N/A,FALSE,"Feb96 - ALL"}</definedName>
    <definedName name="y_2" hidden="1">{"Presentation",#N/A,FALSE,"Feb96 - ALL"}</definedName>
    <definedName name="y_3" hidden="1">{"Presentation",#N/A,FALSE,"Feb96 - ALL"}</definedName>
    <definedName name="year">#REF!</definedName>
    <definedName name="Year2007">#REF!</definedName>
    <definedName name="Year2008">#REF!</definedName>
    <definedName name="Year2009">#REF!</definedName>
    <definedName name="yi" hidden="1">{#N/A,#N/A,FALSE,"Cover";#N/A,#N/A,FALSE,"Profits";#N/A,#N/A,FALSE,"ABS";#N/A,#N/A,FALSE,"TFLE Detail";#N/A,#N/A,FALSE,"TFLE Walk";#N/A,#N/A,FALSE,"Variable Cost";#N/A,#N/A,FALSE,"V.C. Walk"}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yyyyyyyyyyyyyy" hidden="1">{"Fiesta Facer Page",#N/A,FALSE,"Q_C_S";"Fiesta Main Page",#N/A,FALSE,"V_L";"Fiesta 95BP Struct",#N/A,FALSE,"StructBP";"Fiesta Post 95BP Struct",#N/A,FALSE,"AdjStructBP"}</definedName>
    <definedName name="yyyyyyyyyyyyyyy_1" hidden="1">{"Fiesta Facer Page",#N/A,FALSE,"Q_C_S";"Fiesta Main Page",#N/A,FALSE,"V_L";"Fiesta 95BP Struct",#N/A,FALSE,"StructBP";"Fiesta Post 95BP Struct",#N/A,FALSE,"AdjStructBP"}</definedName>
    <definedName name="yyyyyyyyyyyyyyy_2" hidden="1">{"Fiesta Facer Page",#N/A,FALSE,"Q_C_S";"Fiesta Main Page",#N/A,FALSE,"V_L";"Fiesta 95BP Struct",#N/A,FALSE,"StructBP";"Fiesta Post 95BP Struct",#N/A,FALSE,"AdjStructBP"}</definedName>
    <definedName name="yyyyyyyyyyyyyyy_3" hidden="1">{"Fiesta Facer Page",#N/A,FALSE,"Q_C_S";"Fiesta Main Page",#N/A,FALSE,"V_L";"Fiesta 95BP Struct",#N/A,FALSE,"StructBP";"Fiesta Post 95BP Struct",#N/A,FALSE,"AdjStructBP"}</definedName>
    <definedName name="z" hidden="1">{"showroom",#N/A,FALSE,"99 Model Low";"equipment",#N/A,FALSE,"99 Model Low"}</definedName>
    <definedName name="zoih" hidden="1">{"Fiesta Facer Page",#N/A,FALSE,"Q_C_S";"Fiesta Main Page",#N/A,FALSE,"V_L";"Fiesta 95BP Struct",#N/A,FALSE,"StructBP";"Fiesta Post 95BP Struct",#N/A,FALSE,"AdjStructBP"}</definedName>
    <definedName name="zoih_1" hidden="1">{"Fiesta Facer Page",#N/A,FALSE,"Q_C_S";"Fiesta Main Page",#N/A,FALSE,"V_L";"Fiesta 95BP Struct",#N/A,FALSE,"StructBP";"Fiesta Post 95BP Struct",#N/A,FALSE,"AdjStructBP"}</definedName>
    <definedName name="zoih_2" hidden="1">{"Fiesta Facer Page",#N/A,FALSE,"Q_C_S";"Fiesta Main Page",#N/A,FALSE,"V_L";"Fiesta 95BP Struct",#N/A,FALSE,"StructBP";"Fiesta Post 95BP Struct",#N/A,FALSE,"AdjStructBP"}</definedName>
    <definedName name="zoih_3" hidden="1">{"Fiesta Facer Page",#N/A,FALSE,"Q_C_S";"Fiesta Main Page",#N/A,FALSE,"V_L";"Fiesta 95BP Struct",#N/A,FALSE,"StructBP";"Fiesta Post 95BP Struct",#N/A,FALSE,"AdjStructBP"}</definedName>
    <definedName name="zq" hidden="1">{"Presentation",#N/A,FALSE,"Feb96 - ALL"}</definedName>
    <definedName name="zq_1" hidden="1">{"Presentation",#N/A,FALSE,"Feb96 - ALL"}</definedName>
    <definedName name="zq_2" hidden="1">{"Presentation",#N/A,FALSE,"Feb96 - ALL"}</definedName>
    <definedName name="zq_3" hidden="1">{"Presentation",#N/A,FALSE,"Feb96 - ALL"}</definedName>
    <definedName name="Zuschl">#REF!</definedName>
    <definedName name="zzzz" hidden="1">{"Fiesta Facer Page",#N/A,FALSE,"Q_C_S";"Fiesta Main Page",#N/A,FALSE,"V_L";"Fiesta 95BP Struct",#N/A,FALSE,"StructBP";"Fiesta Post 95BP Struct",#N/A,FALSE,"AdjStructBP"}</definedName>
    <definedName name="zzzz_1" hidden="1">{"Fiesta Facer Page",#N/A,FALSE,"Q_C_S";"Fiesta Main Page",#N/A,FALSE,"V_L";"Fiesta 95BP Struct",#N/A,FALSE,"StructBP";"Fiesta Post 95BP Struct",#N/A,FALSE,"AdjStructBP"}</definedName>
    <definedName name="zzzz_2" hidden="1">{"Fiesta Facer Page",#N/A,FALSE,"Q_C_S";"Fiesta Main Page",#N/A,FALSE,"V_L";"Fiesta 95BP Struct",#N/A,FALSE,"StructBP";"Fiesta Post 95BP Struct",#N/A,FALSE,"AdjStructBP"}</definedName>
    <definedName name="zzzz_3" hidden="1">{"Fiesta Facer Page",#N/A,FALSE,"Q_C_S";"Fiesta Main Page",#N/A,FALSE,"V_L";"Fiesta 95BP Struct",#N/A,FALSE,"StructBP";"Fiesta Post 95BP Struct",#N/A,FALSE,"AdjStructBP"}</definedName>
    <definedName name="部门收支分析表">#REF!</definedName>
    <definedName name="成本">#REF!</definedName>
    <definedName name="成本1">#REF!</definedName>
    <definedName name="打印">[2]计算稿!#REF!</definedName>
    <definedName name="分子公司清单" hidden="1">#REF!</definedName>
    <definedName name="个人往来余额表">#REF!</definedName>
    <definedName name="个人余额">#REF!</definedName>
    <definedName name="供应商明细表">#REF!</definedName>
    <definedName name="供应商往来">#REF!</definedName>
    <definedName name="供应商余额">#REF!</definedName>
    <definedName name="基地名称" hidden="1">#REF!</definedName>
    <definedName name="吉利集团浙江">#REF!</definedName>
    <definedName name="客户往来">#REF!</definedName>
    <definedName name="客户余额">#REF!</definedName>
    <definedName name="内部配件销售">#REF!</definedName>
    <definedName name="内部汽车销售">#REF!</definedName>
    <definedName name="内部销售">#REF!</definedName>
    <definedName name="内内">#REF!</definedName>
    <definedName name="内内内内">#REF!</definedName>
    <definedName name="内销材料">#REF!</definedName>
    <definedName name="配件">#REF!</definedName>
    <definedName name="配件内销">#REF!</definedName>
    <definedName name="配件销售">#REF!</definedName>
    <definedName name="汽车">#REF!</definedName>
    <definedName name="汽车内销">#REF!</definedName>
    <definedName name="汽车销售">#REF!</definedName>
    <definedName name="锐" hidden="1">{#N/A,#N/A,FALSE,"Gewerbesteuer"}</definedName>
    <definedName name="三包费">#REF!</definedName>
    <definedName name="实收资本">#REF!</definedName>
    <definedName name="实收资本余额">#REF!</definedName>
    <definedName name="实收资本余额表">#REF!</definedName>
    <definedName name="硕士">#REF!</definedName>
    <definedName name="销售">#REF!</definedName>
    <definedName name="应收资本明细表">#REF!</definedName>
    <definedName name="运费">#REF!</definedName>
    <definedName name="长期应付款">#REF!</definedName>
    <definedName name="长期应付余额">#REF!</definedName>
    <definedName name="长期应应付余额">#REF!</definedName>
    <definedName name="浙江吉利">#REF!</definedName>
    <definedName name="直接人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 a="1"/>
  <c r="L13" i="1" s="1"/>
  <c r="U34" i="1"/>
  <c r="U33" i="1"/>
  <c r="U32" i="1"/>
  <c r="U31" i="1"/>
  <c r="D113" i="1" l="1"/>
  <c r="E113" i="1"/>
  <c r="F1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E112" i="1"/>
  <c r="F112" i="1"/>
  <c r="D112" i="1"/>
  <c r="R90" i="1" l="1"/>
  <c r="M90" i="1"/>
  <c r="L90" i="1"/>
  <c r="K90" i="1"/>
  <c r="R66" i="1"/>
  <c r="M66" i="1"/>
  <c r="L66" i="1"/>
  <c r="K66" i="1"/>
  <c r="R42" i="1"/>
  <c r="M42" i="1"/>
  <c r="L42" i="1"/>
  <c r="K42" i="1"/>
  <c r="R18" i="1"/>
  <c r="M18" i="1"/>
  <c r="L18" i="1"/>
  <c r="K18" i="1"/>
  <c r="J108" i="1"/>
  <c r="I108" i="1"/>
  <c r="J107" i="1"/>
  <c r="I107" i="1" s="1"/>
  <c r="AR356" i="1"/>
  <c r="AQ356" i="1"/>
  <c r="AP350" i="1"/>
  <c r="AP344" i="1"/>
  <c r="AP360" i="1" s="1"/>
  <c r="AP342" i="1"/>
  <c r="AP278" i="1"/>
  <c r="AP293" i="1" s="1"/>
  <c r="AP277" i="1"/>
  <c r="AR290" i="1"/>
  <c r="AQ290" i="1"/>
  <c r="AR224" i="1"/>
  <c r="AQ224" i="1"/>
  <c r="AR158" i="1"/>
  <c r="AQ158" i="1"/>
  <c r="J17" i="1" l="1"/>
  <c r="T15" i="1"/>
  <c r="A59" i="1"/>
  <c r="T17" i="1"/>
  <c r="J40" i="1"/>
  <c r="T16" i="1"/>
  <c r="J87" i="1"/>
  <c r="T18" i="1"/>
  <c r="A83" i="1"/>
  <c r="J88" i="1"/>
  <c r="J55" i="1"/>
  <c r="J30" i="1"/>
  <c r="J63" i="1"/>
  <c r="J31" i="1"/>
  <c r="J77" i="1"/>
  <c r="J33" i="1"/>
  <c r="J78" i="1"/>
  <c r="J38" i="1"/>
  <c r="J80" i="1"/>
  <c r="J39" i="1"/>
  <c r="J85" i="1"/>
  <c r="J41" i="1"/>
  <c r="J86" i="1"/>
  <c r="J10" i="1"/>
  <c r="J56" i="1"/>
  <c r="J64" i="1"/>
  <c r="J81" i="1"/>
  <c r="J89" i="1"/>
  <c r="J34" i="1"/>
  <c r="J3" i="1"/>
  <c r="J11" i="1"/>
  <c r="J57" i="1"/>
  <c r="J65" i="1"/>
  <c r="J82" i="1"/>
  <c r="J27" i="1"/>
  <c r="J35" i="1"/>
  <c r="J4" i="1"/>
  <c r="J12" i="1"/>
  <c r="J58" i="1"/>
  <c r="J75" i="1"/>
  <c r="J83" i="1"/>
  <c r="J28" i="1"/>
  <c r="J36" i="1"/>
  <c r="J5" i="1"/>
  <c r="J13" i="1"/>
  <c r="J51" i="1"/>
  <c r="J59" i="1"/>
  <c r="J76" i="1"/>
  <c r="J84" i="1"/>
  <c r="J29" i="1"/>
  <c r="J37" i="1"/>
  <c r="J6" i="1"/>
  <c r="J14" i="1"/>
  <c r="J52" i="1"/>
  <c r="J60" i="1"/>
  <c r="J7" i="1"/>
  <c r="J15" i="1"/>
  <c r="J53" i="1"/>
  <c r="J61" i="1"/>
  <c r="J8" i="1"/>
  <c r="J16" i="1"/>
  <c r="J54" i="1"/>
  <c r="J62" i="1"/>
  <c r="J79" i="1"/>
  <c r="J32" i="1"/>
  <c r="J9" i="1"/>
  <c r="AP351" i="1"/>
  <c r="AP353" i="1"/>
  <c r="AP358" i="1"/>
  <c r="AP359" i="1"/>
  <c r="AP354" i="1"/>
  <c r="AP339" i="1"/>
  <c r="AP355" i="1"/>
  <c r="AP348" i="1"/>
  <c r="AP341" i="1"/>
  <c r="AP349" i="1"/>
  <c r="AP357" i="1"/>
  <c r="AP352" i="1"/>
  <c r="AP286" i="1"/>
  <c r="AP287" i="1"/>
  <c r="AP294" i="1"/>
  <c r="AP272" i="1"/>
  <c r="AP288" i="1"/>
  <c r="AP273" i="1"/>
  <c r="AP289" i="1"/>
  <c r="AP274" i="1"/>
  <c r="AP282" i="1"/>
  <c r="AP290" i="1"/>
  <c r="AP275" i="1"/>
  <c r="AP283" i="1"/>
  <c r="AP291" i="1"/>
  <c r="AP276" i="1"/>
  <c r="AP284" i="1"/>
  <c r="AP292" i="1"/>
  <c r="AP285" i="1"/>
  <c r="T28" i="1" l="1" a="1"/>
  <c r="T28" i="1" s="1"/>
  <c r="T29" i="1" a="1"/>
  <c r="T29" i="1" s="1"/>
  <c r="T27" i="1" a="1"/>
  <c r="T27" i="1" s="1"/>
  <c r="T30" i="1" a="1"/>
  <c r="T30" i="1" s="1"/>
  <c r="J66" i="1"/>
  <c r="E94" i="1" l="1"/>
  <c r="E3" i="2" l="1"/>
  <c r="E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16" i="1"/>
  <c r="B15" i="1"/>
  <c r="B14" i="1"/>
  <c r="B4" i="1"/>
  <c r="B5" i="1"/>
  <c r="B6" i="1"/>
  <c r="B7" i="1"/>
  <c r="B8" i="1"/>
  <c r="B9" i="1"/>
  <c r="B10" i="1"/>
  <c r="B11" i="1"/>
  <c r="B12" i="1"/>
  <c r="B13" i="1"/>
  <c r="B17" i="1"/>
  <c r="F4" i="2"/>
  <c r="D4" i="2"/>
  <c r="F3" i="2"/>
  <c r="D3" i="2"/>
  <c r="AQ145" i="1" l="1"/>
  <c r="AN396" i="1"/>
  <c r="AY392" i="1"/>
  <c r="AN390" i="1"/>
  <c r="BH389" i="1"/>
  <c r="AZ389" i="1"/>
  <c r="AN389" i="1"/>
  <c r="BG389" i="1" s="1"/>
  <c r="BN384" i="1"/>
  <c r="BN382" i="1" s="1"/>
  <c r="BF384" i="1"/>
  <c r="BF382" i="1" s="1"/>
  <c r="AX384" i="1"/>
  <c r="AX382" i="1" s="1"/>
  <c r="AN384" i="1"/>
  <c r="BM384" i="1" s="1"/>
  <c r="BM382" i="1" s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N383" i="1"/>
  <c r="AN382" i="1"/>
  <c r="BO380" i="1"/>
  <c r="BO395" i="1" s="1"/>
  <c r="BH380" i="1"/>
  <c r="BH395" i="1" s="1"/>
  <c r="BG380" i="1"/>
  <c r="BG395" i="1" s="1"/>
  <c r="AN380" i="1"/>
  <c r="AN395" i="1" s="1"/>
  <c r="BK379" i="1"/>
  <c r="BK394" i="1" s="1"/>
  <c r="BJ379" i="1"/>
  <c r="BJ394" i="1" s="1"/>
  <c r="BC379" i="1"/>
  <c r="BC394" i="1" s="1"/>
  <c r="BB379" i="1"/>
  <c r="BB394" i="1" s="1"/>
  <c r="AT379" i="1"/>
  <c r="AT394" i="1" s="1"/>
  <c r="AN379" i="1"/>
  <c r="BI379" i="1" s="1"/>
  <c r="BI394" i="1" s="1"/>
  <c r="AN378" i="1"/>
  <c r="BM375" i="1"/>
  <c r="BM393" i="1" s="1"/>
  <c r="BE375" i="1"/>
  <c r="BE393" i="1" s="1"/>
  <c r="AW375" i="1"/>
  <c r="AW393" i="1" s="1"/>
  <c r="AN375" i="1"/>
  <c r="BN374" i="1"/>
  <c r="BN392" i="1" s="1"/>
  <c r="BL374" i="1"/>
  <c r="BL392" i="1" s="1"/>
  <c r="BK374" i="1"/>
  <c r="BK392" i="1" s="1"/>
  <c r="BI374" i="1"/>
  <c r="BH374" i="1"/>
  <c r="BF374" i="1"/>
  <c r="BF392" i="1" s="1"/>
  <c r="BD374" i="1"/>
  <c r="BD392" i="1" s="1"/>
  <c r="BC374" i="1"/>
  <c r="BC392" i="1" s="1"/>
  <c r="BB374" i="1"/>
  <c r="BB392" i="1" s="1"/>
  <c r="BA374" i="1"/>
  <c r="AZ374" i="1"/>
  <c r="AY374" i="1"/>
  <c r="AX374" i="1"/>
  <c r="AX392" i="1" s="1"/>
  <c r="AV374" i="1"/>
  <c r="AV392" i="1" s="1"/>
  <c r="AU374" i="1"/>
  <c r="AU392" i="1" s="1"/>
  <c r="AS374" i="1"/>
  <c r="AN374" i="1"/>
  <c r="BO374" i="1" s="1"/>
  <c r="BO371" i="1"/>
  <c r="BN371" i="1"/>
  <c r="BN366" i="1" s="1"/>
  <c r="BF371" i="1"/>
  <c r="BF366" i="1" s="1"/>
  <c r="BD371" i="1"/>
  <c r="BA371" i="1"/>
  <c r="AY371" i="1"/>
  <c r="AX371" i="1"/>
  <c r="AX366" i="1" s="1"/>
  <c r="AV371" i="1"/>
  <c r="AS371" i="1"/>
  <c r="AN371" i="1"/>
  <c r="BM371" i="1" s="1"/>
  <c r="BM366" i="1" s="1"/>
  <c r="BJ368" i="1"/>
  <c r="BJ390" i="1" s="1"/>
  <c r="BI368" i="1"/>
  <c r="BI390" i="1" s="1"/>
  <c r="BG368" i="1"/>
  <c r="BG390" i="1" s="1"/>
  <c r="BB368" i="1"/>
  <c r="BB390" i="1" s="1"/>
  <c r="BA368" i="1"/>
  <c r="BA390" i="1" s="1"/>
  <c r="AY368" i="1"/>
  <c r="AY390" i="1" s="1"/>
  <c r="AV368" i="1"/>
  <c r="AV390" i="1" s="1"/>
  <c r="AT368" i="1"/>
  <c r="AT390" i="1" s="1"/>
  <c r="AS368" i="1"/>
  <c r="AS390" i="1" s="1"/>
  <c r="AN368" i="1"/>
  <c r="BH368" i="1" s="1"/>
  <c r="BH390" i="1" s="1"/>
  <c r="BL367" i="1"/>
  <c r="BL391" i="1" s="1"/>
  <c r="BD367" i="1"/>
  <c r="AV367" i="1"/>
  <c r="AN367" i="1"/>
  <c r="BK367" i="1" s="1"/>
  <c r="BK391" i="1" s="1"/>
  <c r="BO366" i="1"/>
  <c r="BD366" i="1"/>
  <c r="BA366" i="1"/>
  <c r="AY366" i="1"/>
  <c r="AV366" i="1"/>
  <c r="AS366" i="1"/>
  <c r="AN366" i="1"/>
  <c r="AN356" i="1"/>
  <c r="AN343" i="1"/>
  <c r="AQ343" i="1"/>
  <c r="AN336" i="1"/>
  <c r="AN330" i="1"/>
  <c r="BJ329" i="1"/>
  <c r="AT329" i="1"/>
  <c r="AN328" i="1"/>
  <c r="BH327" i="1"/>
  <c r="BL323" i="1"/>
  <c r="BJ323" i="1"/>
  <c r="BI323" i="1"/>
  <c r="BG323" i="1"/>
  <c r="BD323" i="1"/>
  <c r="BB323" i="1"/>
  <c r="BA323" i="1"/>
  <c r="AY323" i="1"/>
  <c r="AV323" i="1"/>
  <c r="AT323" i="1"/>
  <c r="AS323" i="1"/>
  <c r="AN323" i="1"/>
  <c r="BK323" i="1" s="1"/>
  <c r="BH318" i="1"/>
  <c r="BB318" i="1"/>
  <c r="AZ318" i="1"/>
  <c r="AT318" i="1"/>
  <c r="AN318" i="1"/>
  <c r="BI318" i="1" s="1"/>
  <c r="BI316" i="1" s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N317" i="1"/>
  <c r="AN316" i="1" s="1"/>
  <c r="BH316" i="1"/>
  <c r="AZ316" i="1"/>
  <c r="BN314" i="1"/>
  <c r="BN329" i="1" s="1"/>
  <c r="BK314" i="1"/>
  <c r="BK329" i="1" s="1"/>
  <c r="BI314" i="1"/>
  <c r="BI329" i="1" s="1"/>
  <c r="BH314" i="1"/>
  <c r="BH329" i="1" s="1"/>
  <c r="BF314" i="1"/>
  <c r="BF329" i="1" s="1"/>
  <c r="BC314" i="1"/>
  <c r="BC329" i="1" s="1"/>
  <c r="BA314" i="1"/>
  <c r="BA329" i="1" s="1"/>
  <c r="AU314" i="1"/>
  <c r="AU329" i="1" s="1"/>
  <c r="AT314" i="1"/>
  <c r="AS314" i="1"/>
  <c r="AS329" i="1" s="1"/>
  <c r="AN314" i="1"/>
  <c r="BJ314" i="1" s="1"/>
  <c r="BN313" i="1"/>
  <c r="BN328" i="1" s="1"/>
  <c r="BL313" i="1"/>
  <c r="BL328" i="1" s="1"/>
  <c r="BK313" i="1"/>
  <c r="BK328" i="1" s="1"/>
  <c r="BI313" i="1"/>
  <c r="BI328" i="1" s="1"/>
  <c r="BF313" i="1"/>
  <c r="BF328" i="1" s="1"/>
  <c r="BD313" i="1"/>
  <c r="BD328" i="1" s="1"/>
  <c r="BC313" i="1"/>
  <c r="BC328" i="1" s="1"/>
  <c r="BA313" i="1"/>
  <c r="BA328" i="1" s="1"/>
  <c r="AX313" i="1"/>
  <c r="AX328" i="1" s="1"/>
  <c r="AS313" i="1"/>
  <c r="AS328" i="1" s="1"/>
  <c r="AN313" i="1"/>
  <c r="BM313" i="1" s="1"/>
  <c r="BM328" i="1" s="1"/>
  <c r="AN312" i="1"/>
  <c r="AN331" i="1" s="1"/>
  <c r="AN310" i="1"/>
  <c r="BO309" i="1"/>
  <c r="BO327" i="1" s="1"/>
  <c r="BN309" i="1"/>
  <c r="BN327" i="1" s="1"/>
  <c r="BL309" i="1"/>
  <c r="BL327" i="1" s="1"/>
  <c r="BI309" i="1"/>
  <c r="BI327" i="1" s="1"/>
  <c r="BH309" i="1"/>
  <c r="BG309" i="1"/>
  <c r="BG327" i="1" s="1"/>
  <c r="BF309" i="1"/>
  <c r="BF327" i="1" s="1"/>
  <c r="BD309" i="1"/>
  <c r="BD327" i="1" s="1"/>
  <c r="BA309" i="1"/>
  <c r="BA327" i="1" s="1"/>
  <c r="AZ309" i="1"/>
  <c r="AZ327" i="1" s="1"/>
  <c r="AY309" i="1"/>
  <c r="AY327" i="1" s="1"/>
  <c r="AX309" i="1"/>
  <c r="AX327" i="1" s="1"/>
  <c r="AV309" i="1"/>
  <c r="AV327" i="1" s="1"/>
  <c r="AN309" i="1"/>
  <c r="AN327" i="1" s="1"/>
  <c r="BO308" i="1"/>
  <c r="BJ308" i="1"/>
  <c r="BJ326" i="1" s="1"/>
  <c r="BG308" i="1"/>
  <c r="BG326" i="1" s="1"/>
  <c r="BC308" i="1"/>
  <c r="BB308" i="1"/>
  <c r="AX308" i="1"/>
  <c r="AX326" i="1" s="1"/>
  <c r="AV308" i="1"/>
  <c r="AV326" i="1" s="1"/>
  <c r="AS308" i="1"/>
  <c r="AN308" i="1"/>
  <c r="BD308" i="1" s="1"/>
  <c r="BD326" i="1" s="1"/>
  <c r="AN307" i="1"/>
  <c r="BO305" i="1"/>
  <c r="BO300" i="1" s="1"/>
  <c r="BN305" i="1"/>
  <c r="BL305" i="1"/>
  <c r="BL300" i="1" s="1"/>
  <c r="BK305" i="1"/>
  <c r="BJ305" i="1"/>
  <c r="BJ300" i="1" s="1"/>
  <c r="BF305" i="1"/>
  <c r="BD305" i="1"/>
  <c r="BD300" i="1" s="1"/>
  <c r="BC305" i="1"/>
  <c r="BB305" i="1"/>
  <c r="BB300" i="1" s="1"/>
  <c r="BA305" i="1"/>
  <c r="AZ305" i="1"/>
  <c r="AY305" i="1"/>
  <c r="AY300" i="1" s="1"/>
  <c r="AX305" i="1"/>
  <c r="AV305" i="1"/>
  <c r="AV300" i="1" s="1"/>
  <c r="AU305" i="1"/>
  <c r="AT305" i="1"/>
  <c r="AT300" i="1" s="1"/>
  <c r="AS305" i="1"/>
  <c r="AQ305" i="1"/>
  <c r="AQ300" i="1" s="1"/>
  <c r="AN305" i="1"/>
  <c r="BM305" i="1" s="1"/>
  <c r="BM300" i="1" s="1"/>
  <c r="BO302" i="1"/>
  <c r="BO324" i="1" s="1"/>
  <c r="BK302" i="1"/>
  <c r="BK324" i="1" s="1"/>
  <c r="BJ302" i="1"/>
  <c r="BJ324" i="1" s="1"/>
  <c r="BG302" i="1"/>
  <c r="BG324" i="1" s="1"/>
  <c r="BC302" i="1"/>
  <c r="BC324" i="1" s="1"/>
  <c r="BB302" i="1"/>
  <c r="BB324" i="1" s="1"/>
  <c r="AY302" i="1"/>
  <c r="AY324" i="1" s="1"/>
  <c r="AU302" i="1"/>
  <c r="AU324" i="1" s="1"/>
  <c r="AT302" i="1"/>
  <c r="AT324" i="1" s="1"/>
  <c r="AN302" i="1"/>
  <c r="AN324" i="1" s="1"/>
  <c r="BE301" i="1"/>
  <c r="BE325" i="1" s="1"/>
  <c r="AN301" i="1"/>
  <c r="BN300" i="1"/>
  <c r="BK300" i="1"/>
  <c r="BF300" i="1"/>
  <c r="BC300" i="1"/>
  <c r="BA300" i="1"/>
  <c r="AZ300" i="1"/>
  <c r="AX300" i="1"/>
  <c r="AU300" i="1"/>
  <c r="AS300" i="1"/>
  <c r="AN300" i="1"/>
  <c r="AN299" i="1" s="1"/>
  <c r="BI305" i="1"/>
  <c r="BI300" i="1" s="1"/>
  <c r="BH305" i="1"/>
  <c r="BH300" i="1" s="1"/>
  <c r="AR302" i="1"/>
  <c r="AR324" i="1" s="1"/>
  <c r="AQ302" i="1"/>
  <c r="AQ324" i="1" s="1"/>
  <c r="BC301" i="1"/>
  <c r="AN277" i="1"/>
  <c r="AR276" i="1"/>
  <c r="AQ276" i="1"/>
  <c r="AR277" i="1"/>
  <c r="AQ277" i="1"/>
  <c r="A53" i="1" s="1"/>
  <c r="AN274" i="1"/>
  <c r="AN270" i="1"/>
  <c r="AN264" i="1"/>
  <c r="BJ263" i="1"/>
  <c r="AN263" i="1"/>
  <c r="AV258" i="1"/>
  <c r="BL257" i="1"/>
  <c r="BK257" i="1"/>
  <c r="BJ257" i="1"/>
  <c r="BH257" i="1"/>
  <c r="BG257" i="1"/>
  <c r="BF257" i="1"/>
  <c r="BD257" i="1"/>
  <c r="BC257" i="1"/>
  <c r="BB257" i="1"/>
  <c r="AZ257" i="1"/>
  <c r="AY257" i="1"/>
  <c r="AX257" i="1"/>
  <c r="AV257" i="1"/>
  <c r="AU257" i="1"/>
  <c r="AT257" i="1"/>
  <c r="AN257" i="1"/>
  <c r="BE257" i="1" s="1"/>
  <c r="AN252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N251" i="1"/>
  <c r="BO248" i="1"/>
  <c r="BO263" i="1" s="1"/>
  <c r="BN248" i="1"/>
  <c r="BN263" i="1" s="1"/>
  <c r="BL248" i="1"/>
  <c r="BL263" i="1" s="1"/>
  <c r="BJ248" i="1"/>
  <c r="BI248" i="1"/>
  <c r="BI263" i="1" s="1"/>
  <c r="BH248" i="1"/>
  <c r="BH263" i="1" s="1"/>
  <c r="BG248" i="1"/>
  <c r="BG263" i="1" s="1"/>
  <c r="BF248" i="1"/>
  <c r="BF263" i="1" s="1"/>
  <c r="BD248" i="1"/>
  <c r="BD263" i="1" s="1"/>
  <c r="BB248" i="1"/>
  <c r="BB263" i="1" s="1"/>
  <c r="BA248" i="1"/>
  <c r="BA263" i="1" s="1"/>
  <c r="AV248" i="1"/>
  <c r="AV263" i="1" s="1"/>
  <c r="AT248" i="1"/>
  <c r="AT263" i="1" s="1"/>
  <c r="AS248" i="1"/>
  <c r="AS263" i="1" s="1"/>
  <c r="AN248" i="1"/>
  <c r="BM248" i="1" s="1"/>
  <c r="BM263" i="1" s="1"/>
  <c r="BK247" i="1"/>
  <c r="BK262" i="1" s="1"/>
  <c r="BJ247" i="1"/>
  <c r="BJ262" i="1" s="1"/>
  <c r="BI247" i="1"/>
  <c r="BI262" i="1" s="1"/>
  <c r="BC247" i="1"/>
  <c r="BC262" i="1" s="1"/>
  <c r="BB247" i="1"/>
  <c r="BB262" i="1" s="1"/>
  <c r="BA247" i="1"/>
  <c r="BA262" i="1" s="1"/>
  <c r="AT247" i="1"/>
  <c r="AT262" i="1" s="1"/>
  <c r="AS247" i="1"/>
  <c r="AS262" i="1" s="1"/>
  <c r="AN247" i="1"/>
  <c r="AN262" i="1" s="1"/>
  <c r="AN246" i="1"/>
  <c r="AN265" i="1" s="1"/>
  <c r="BL243" i="1"/>
  <c r="BL261" i="1" s="1"/>
  <c r="BD243" i="1"/>
  <c r="BD261" i="1" s="1"/>
  <c r="AV243" i="1"/>
  <c r="AV261" i="1" s="1"/>
  <c r="AN243" i="1"/>
  <c r="AN261" i="1" s="1"/>
  <c r="BO242" i="1"/>
  <c r="BI242" i="1"/>
  <c r="BI260" i="1" s="1"/>
  <c r="BH242" i="1"/>
  <c r="BH260" i="1" s="1"/>
  <c r="BG242" i="1"/>
  <c r="BB242" i="1"/>
  <c r="BB260" i="1" s="1"/>
  <c r="BA242" i="1"/>
  <c r="BA260" i="1" s="1"/>
  <c r="AZ242" i="1"/>
  <c r="AZ260" i="1" s="1"/>
  <c r="AY242" i="1"/>
  <c r="AS242" i="1"/>
  <c r="AS260" i="1" s="1"/>
  <c r="AN242" i="1"/>
  <c r="AN260" i="1" s="1"/>
  <c r="BM239" i="1"/>
  <c r="BM234" i="1" s="1"/>
  <c r="BE239" i="1"/>
  <c r="BE234" i="1" s="1"/>
  <c r="AW239" i="1"/>
  <c r="AW234" i="1" s="1"/>
  <c r="AN239" i="1"/>
  <c r="BL236" i="1"/>
  <c r="BL258" i="1" s="1"/>
  <c r="BK236" i="1"/>
  <c r="BK258" i="1" s="1"/>
  <c r="BJ236" i="1"/>
  <c r="BJ258" i="1" s="1"/>
  <c r="BI236" i="1"/>
  <c r="BI258" i="1" s="1"/>
  <c r="BH236" i="1"/>
  <c r="BH258" i="1" s="1"/>
  <c r="BC236" i="1"/>
  <c r="BC258" i="1" s="1"/>
  <c r="BB236" i="1"/>
  <c r="BB258" i="1" s="1"/>
  <c r="BA236" i="1"/>
  <c r="BA258" i="1" s="1"/>
  <c r="AZ236" i="1"/>
  <c r="AZ258" i="1" s="1"/>
  <c r="AY236" i="1"/>
  <c r="AY258" i="1" s="1"/>
  <c r="AX236" i="1"/>
  <c r="AX258" i="1" s="1"/>
  <c r="AV236" i="1"/>
  <c r="AU236" i="1"/>
  <c r="AU258" i="1" s="1"/>
  <c r="AT236" i="1"/>
  <c r="AT258" i="1" s="1"/>
  <c r="AS236" i="1"/>
  <c r="AS258" i="1" s="1"/>
  <c r="AN236" i="1"/>
  <c r="BO236" i="1" s="1"/>
  <c r="BO258" i="1" s="1"/>
  <c r="BL235" i="1"/>
  <c r="BL259" i="1" s="1"/>
  <c r="BK235" i="1"/>
  <c r="BK259" i="1" s="1"/>
  <c r="BD235" i="1"/>
  <c r="BD259" i="1" s="1"/>
  <c r="BC235" i="1"/>
  <c r="BC259" i="1" s="1"/>
  <c r="AV235" i="1"/>
  <c r="AV259" i="1" s="1"/>
  <c r="AU235" i="1"/>
  <c r="AU259" i="1" s="1"/>
  <c r="AN235" i="1"/>
  <c r="AN259" i="1" s="1"/>
  <c r="AQ206" i="1"/>
  <c r="BL252" i="1"/>
  <c r="BL250" i="1" s="1"/>
  <c r="BK252" i="1"/>
  <c r="BK250" i="1" s="1"/>
  <c r="BI239" i="1"/>
  <c r="BI234" i="1" s="1"/>
  <c r="BH239" i="1"/>
  <c r="BH234" i="1" s="1"/>
  <c r="AR235" i="1"/>
  <c r="AR259" i="1" s="1"/>
  <c r="AR211" i="1"/>
  <c r="AN211" i="1"/>
  <c r="AQ211" i="1"/>
  <c r="AN208" i="1"/>
  <c r="AN204" i="1"/>
  <c r="AN198" i="1"/>
  <c r="BH197" i="1"/>
  <c r="BJ191" i="1"/>
  <c r="BH191" i="1"/>
  <c r="BB191" i="1"/>
  <c r="AZ191" i="1"/>
  <c r="AT191" i="1"/>
  <c r="AN191" i="1"/>
  <c r="BG191" i="1" s="1"/>
  <c r="BO186" i="1"/>
  <c r="BN186" i="1"/>
  <c r="BI186" i="1"/>
  <c r="BH186" i="1"/>
  <c r="BH184" i="1" s="1"/>
  <c r="BG186" i="1"/>
  <c r="BF186" i="1"/>
  <c r="BF184" i="1" s="1"/>
  <c r="BC186" i="1"/>
  <c r="BA186" i="1"/>
  <c r="AZ186" i="1"/>
  <c r="AZ184" i="1" s="1"/>
  <c r="AY186" i="1"/>
  <c r="AX186" i="1"/>
  <c r="AU186" i="1"/>
  <c r="AS186" i="1"/>
  <c r="AR186" i="1"/>
  <c r="AR184" i="1" s="1"/>
  <c r="AN186" i="1"/>
  <c r="BM186" i="1" s="1"/>
  <c r="BM184" i="1" s="1"/>
  <c r="BO185" i="1"/>
  <c r="BN185" i="1"/>
  <c r="BM185" i="1"/>
  <c r="BL185" i="1"/>
  <c r="BK185" i="1"/>
  <c r="BJ185" i="1"/>
  <c r="BI185" i="1"/>
  <c r="BI184" i="1" s="1"/>
  <c r="BH185" i="1"/>
  <c r="BG185" i="1"/>
  <c r="BF185" i="1"/>
  <c r="BE185" i="1"/>
  <c r="BD185" i="1"/>
  <c r="BC185" i="1"/>
  <c r="BC184" i="1" s="1"/>
  <c r="BB185" i="1"/>
  <c r="BA185" i="1"/>
  <c r="BA184" i="1" s="1"/>
  <c r="AZ185" i="1"/>
  <c r="AY185" i="1"/>
  <c r="AX185" i="1"/>
  <c r="AW185" i="1"/>
  <c r="AV185" i="1"/>
  <c r="AU185" i="1"/>
  <c r="AU184" i="1" s="1"/>
  <c r="AT185" i="1"/>
  <c r="AS185" i="1"/>
  <c r="AS184" i="1" s="1"/>
  <c r="AR185" i="1"/>
  <c r="AQ185" i="1"/>
  <c r="AP185" i="1"/>
  <c r="AN185" i="1"/>
  <c r="BO184" i="1"/>
  <c r="BN184" i="1"/>
  <c r="BG184" i="1"/>
  <c r="AY184" i="1"/>
  <c r="AX184" i="1"/>
  <c r="AN184" i="1"/>
  <c r="BO182" i="1"/>
  <c r="BO197" i="1" s="1"/>
  <c r="BL182" i="1"/>
  <c r="BL197" i="1" s="1"/>
  <c r="BJ182" i="1"/>
  <c r="BJ197" i="1" s="1"/>
  <c r="BI182" i="1"/>
  <c r="BI197" i="1" s="1"/>
  <c r="BH182" i="1"/>
  <c r="BG182" i="1"/>
  <c r="BG197" i="1" s="1"/>
  <c r="BD182" i="1"/>
  <c r="BD197" i="1" s="1"/>
  <c r="BB182" i="1"/>
  <c r="BB197" i="1" s="1"/>
  <c r="BA182" i="1"/>
  <c r="BA197" i="1" s="1"/>
  <c r="AV182" i="1"/>
  <c r="AV197" i="1" s="1"/>
  <c r="AT182" i="1"/>
  <c r="AT197" i="1" s="1"/>
  <c r="AS182" i="1"/>
  <c r="AS197" i="1" s="1"/>
  <c r="AN182" i="1"/>
  <c r="AN197" i="1" s="1"/>
  <c r="AN181" i="1"/>
  <c r="AN180" i="1"/>
  <c r="AN199" i="1" s="1"/>
  <c r="BO177" i="1"/>
  <c r="BO195" i="1" s="1"/>
  <c r="AN177" i="1"/>
  <c r="BC176" i="1"/>
  <c r="AN176" i="1"/>
  <c r="AV173" i="1"/>
  <c r="AV168" i="1" s="1"/>
  <c r="AN173" i="1"/>
  <c r="BO170" i="1"/>
  <c r="BO192" i="1" s="1"/>
  <c r="BL170" i="1"/>
  <c r="BL192" i="1" s="1"/>
  <c r="BK170" i="1"/>
  <c r="BK192" i="1" s="1"/>
  <c r="BJ170" i="1"/>
  <c r="BJ192" i="1" s="1"/>
  <c r="BI170" i="1"/>
  <c r="BI192" i="1" s="1"/>
  <c r="BH170" i="1"/>
  <c r="BH192" i="1" s="1"/>
  <c r="BG170" i="1"/>
  <c r="BG192" i="1" s="1"/>
  <c r="BC170" i="1"/>
  <c r="BC192" i="1" s="1"/>
  <c r="BB170" i="1"/>
  <c r="BB192" i="1" s="1"/>
  <c r="BA170" i="1"/>
  <c r="BA192" i="1" s="1"/>
  <c r="AZ170" i="1"/>
  <c r="AZ192" i="1" s="1"/>
  <c r="AY170" i="1"/>
  <c r="AY192" i="1" s="1"/>
  <c r="AV170" i="1"/>
  <c r="AV192" i="1" s="1"/>
  <c r="AU170" i="1"/>
  <c r="AU192" i="1" s="1"/>
  <c r="AT170" i="1"/>
  <c r="AT192" i="1" s="1"/>
  <c r="AS170" i="1"/>
  <c r="AS192" i="1" s="1"/>
  <c r="AR170" i="1"/>
  <c r="AR192" i="1" s="1"/>
  <c r="AQ170" i="1"/>
  <c r="AQ192" i="1" s="1"/>
  <c r="AN170" i="1"/>
  <c r="BN170" i="1" s="1"/>
  <c r="BN192" i="1" s="1"/>
  <c r="BK169" i="1"/>
  <c r="BK193" i="1" s="1"/>
  <c r="BJ169" i="1"/>
  <c r="BJ193" i="1" s="1"/>
  <c r="BF169" i="1"/>
  <c r="BF193" i="1" s="1"/>
  <c r="BC169" i="1"/>
  <c r="BC193" i="1" s="1"/>
  <c r="BB169" i="1"/>
  <c r="BB193" i="1" s="1"/>
  <c r="AX169" i="1"/>
  <c r="AX193" i="1" s="1"/>
  <c r="AU169" i="1"/>
  <c r="AU193" i="1" s="1"/>
  <c r="AT169" i="1"/>
  <c r="AT193" i="1" s="1"/>
  <c r="AN169" i="1"/>
  <c r="AN193" i="1" s="1"/>
  <c r="AN168" i="1"/>
  <c r="AN167" i="1" s="1"/>
  <c r="BO191" i="1"/>
  <c r="BL186" i="1"/>
  <c r="BL184" i="1" s="1"/>
  <c r="AQ173" i="1"/>
  <c r="AQ168" i="1" s="1"/>
  <c r="AQ167" i="1" s="1"/>
  <c r="BF170" i="1"/>
  <c r="BF192" i="1" s="1"/>
  <c r="BE170" i="1"/>
  <c r="BE192" i="1" s="1"/>
  <c r="AR169" i="1"/>
  <c r="AR193" i="1" s="1"/>
  <c r="AQ169" i="1"/>
  <c r="AQ193" i="1" s="1"/>
  <c r="AN145" i="1"/>
  <c r="AN142" i="1"/>
  <c r="AN138" i="1"/>
  <c r="P60" i="1" a="1"/>
  <c r="P60" i="1" s="1"/>
  <c r="D8" i="1" a="1"/>
  <c r="D8" i="1" s="1"/>
  <c r="X113" i="1"/>
  <c r="V113" i="1" s="1"/>
  <c r="AK109" i="1"/>
  <c r="AJ109" i="1"/>
  <c r="W109" i="1"/>
  <c r="AI108" i="1"/>
  <c r="AH108" i="1"/>
  <c r="AG108" i="1"/>
  <c r="AF108" i="1"/>
  <c r="AE108" i="1"/>
  <c r="AD108" i="1"/>
  <c r="AB108" i="1"/>
  <c r="AA108" i="1"/>
  <c r="Z108" i="1"/>
  <c r="X108" i="1"/>
  <c r="W108" i="1"/>
  <c r="K108" i="1"/>
  <c r="AI107" i="1"/>
  <c r="AH107" i="1"/>
  <c r="AG107" i="1"/>
  <c r="AG109" i="1" s="1"/>
  <c r="AF107" i="1"/>
  <c r="AE107" i="1"/>
  <c r="AD107" i="1"/>
  <c r="AB107" i="1"/>
  <c r="AA107" i="1"/>
  <c r="Z107" i="1"/>
  <c r="X107" i="1"/>
  <c r="W107" i="1"/>
  <c r="K107" i="1"/>
  <c r="AI106" i="1"/>
  <c r="AH106" i="1"/>
  <c r="AG106" i="1"/>
  <c r="AF106" i="1"/>
  <c r="AE106" i="1"/>
  <c r="AE109" i="1" s="1"/>
  <c r="AD106" i="1"/>
  <c r="AB106" i="1"/>
  <c r="AA106" i="1"/>
  <c r="Z106" i="1"/>
  <c r="X106" i="1"/>
  <c r="W106" i="1"/>
  <c r="K106" i="1"/>
  <c r="AI105" i="1"/>
  <c r="AI109" i="1" s="1"/>
  <c r="AH105" i="1"/>
  <c r="AG105" i="1"/>
  <c r="AF105" i="1"/>
  <c r="AE105" i="1"/>
  <c r="AD105" i="1"/>
  <c r="AB105" i="1"/>
  <c r="AB109" i="1" s="1"/>
  <c r="AA105" i="1"/>
  <c r="AA109" i="1" s="1"/>
  <c r="Z105" i="1"/>
  <c r="Z109" i="1" s="1"/>
  <c r="X105" i="1"/>
  <c r="W105" i="1"/>
  <c r="K105" i="1"/>
  <c r="AI99" i="1"/>
  <c r="AH99" i="1"/>
  <c r="AG99" i="1"/>
  <c r="AF99" i="1"/>
  <c r="AE99" i="1"/>
  <c r="AD99" i="1"/>
  <c r="AC99" i="1"/>
  <c r="AB99" i="1"/>
  <c r="AA99" i="1"/>
  <c r="Z99" i="1"/>
  <c r="Y99" i="1"/>
  <c r="X99" i="1"/>
  <c r="AI98" i="1"/>
  <c r="AH98" i="1"/>
  <c r="AG98" i="1"/>
  <c r="AF98" i="1"/>
  <c r="AE98" i="1"/>
  <c r="AD98" i="1"/>
  <c r="AC98" i="1"/>
  <c r="AB98" i="1"/>
  <c r="AA98" i="1"/>
  <c r="Z98" i="1"/>
  <c r="Y98" i="1"/>
  <c r="X98" i="1"/>
  <c r="AI97" i="1"/>
  <c r="AH97" i="1"/>
  <c r="AG97" i="1"/>
  <c r="AF97" i="1"/>
  <c r="AE97" i="1"/>
  <c r="AD97" i="1"/>
  <c r="AC97" i="1"/>
  <c r="AB97" i="1"/>
  <c r="AA97" i="1"/>
  <c r="Z97" i="1"/>
  <c r="Y97" i="1"/>
  <c r="X97" i="1"/>
  <c r="AI96" i="1"/>
  <c r="AH96" i="1"/>
  <c r="AG96" i="1"/>
  <c r="AF96" i="1"/>
  <c r="AE96" i="1"/>
  <c r="AD96" i="1"/>
  <c r="AC96" i="1"/>
  <c r="AB96" i="1"/>
  <c r="AA96" i="1"/>
  <c r="Z96" i="1"/>
  <c r="Y96" i="1"/>
  <c r="X96" i="1"/>
  <c r="AI95" i="1"/>
  <c r="AH95" i="1"/>
  <c r="AG95" i="1"/>
  <c r="AF95" i="1"/>
  <c r="AE95" i="1"/>
  <c r="AD95" i="1"/>
  <c r="AC95" i="1"/>
  <c r="AB95" i="1"/>
  <c r="AA95" i="1"/>
  <c r="Z95" i="1"/>
  <c r="Y95" i="1"/>
  <c r="X95" i="1"/>
  <c r="K95" i="1"/>
  <c r="AE43" i="1" s="1"/>
  <c r="G95" i="1"/>
  <c r="AI94" i="1"/>
  <c r="AH94" i="1"/>
  <c r="AG94" i="1"/>
  <c r="AF94" i="1"/>
  <c r="AE94" i="1"/>
  <c r="AD94" i="1"/>
  <c r="AC94" i="1"/>
  <c r="AB94" i="1"/>
  <c r="AA94" i="1"/>
  <c r="Z94" i="1"/>
  <c r="Y94" i="1"/>
  <c r="X94" i="1"/>
  <c r="G94" i="1"/>
  <c r="AI93" i="1"/>
  <c r="AH93" i="1"/>
  <c r="AG93" i="1"/>
  <c r="AF93" i="1"/>
  <c r="AE93" i="1"/>
  <c r="AD93" i="1"/>
  <c r="AC93" i="1"/>
  <c r="AB93" i="1"/>
  <c r="AA93" i="1"/>
  <c r="Z93" i="1"/>
  <c r="Y93" i="1"/>
  <c r="X93" i="1"/>
  <c r="AI92" i="1"/>
  <c r="AH92" i="1"/>
  <c r="AG92" i="1"/>
  <c r="AF92" i="1"/>
  <c r="AE92" i="1"/>
  <c r="AD92" i="1"/>
  <c r="AC92" i="1"/>
  <c r="AB92" i="1"/>
  <c r="AA92" i="1"/>
  <c r="Z92" i="1"/>
  <c r="Y92" i="1"/>
  <c r="X92" i="1"/>
  <c r="AI91" i="1"/>
  <c r="AH91" i="1"/>
  <c r="AG91" i="1"/>
  <c r="AF91" i="1"/>
  <c r="AE91" i="1"/>
  <c r="AD91" i="1"/>
  <c r="AC91" i="1"/>
  <c r="AB91" i="1"/>
  <c r="AA91" i="1"/>
  <c r="Z91" i="1"/>
  <c r="Y91" i="1"/>
  <c r="X91" i="1"/>
  <c r="AI90" i="1"/>
  <c r="AH90" i="1"/>
  <c r="AG90" i="1"/>
  <c r="AF90" i="1"/>
  <c r="AE90" i="1"/>
  <c r="AD90" i="1"/>
  <c r="AC90" i="1"/>
  <c r="AB90" i="1"/>
  <c r="AA90" i="1"/>
  <c r="Z90" i="1"/>
  <c r="Y90" i="1"/>
  <c r="X90" i="1"/>
  <c r="AI89" i="1"/>
  <c r="AH89" i="1"/>
  <c r="AG89" i="1"/>
  <c r="AF89" i="1"/>
  <c r="AE89" i="1"/>
  <c r="AD89" i="1"/>
  <c r="AC89" i="1"/>
  <c r="AB89" i="1"/>
  <c r="AA89" i="1"/>
  <c r="Z89" i="1"/>
  <c r="Y89" i="1"/>
  <c r="X89" i="1"/>
  <c r="AI88" i="1"/>
  <c r="AH88" i="1"/>
  <c r="AG88" i="1"/>
  <c r="AF88" i="1"/>
  <c r="AE88" i="1"/>
  <c r="AD88" i="1"/>
  <c r="AC88" i="1"/>
  <c r="AB88" i="1"/>
  <c r="AA88" i="1"/>
  <c r="Z88" i="1"/>
  <c r="Y88" i="1"/>
  <c r="X88" i="1"/>
  <c r="F88" i="1"/>
  <c r="AI87" i="1"/>
  <c r="AH87" i="1"/>
  <c r="AG87" i="1"/>
  <c r="AF87" i="1"/>
  <c r="AE87" i="1"/>
  <c r="AD87" i="1"/>
  <c r="AC87" i="1"/>
  <c r="AB87" i="1"/>
  <c r="AA87" i="1"/>
  <c r="Z87" i="1"/>
  <c r="Y87" i="1"/>
  <c r="X87" i="1"/>
  <c r="AI86" i="1"/>
  <c r="AH86" i="1"/>
  <c r="AG86" i="1"/>
  <c r="AF86" i="1"/>
  <c r="AE86" i="1"/>
  <c r="AD86" i="1"/>
  <c r="AC86" i="1"/>
  <c r="AB86" i="1"/>
  <c r="AA86" i="1"/>
  <c r="Z86" i="1"/>
  <c r="Y86" i="1"/>
  <c r="X86" i="1"/>
  <c r="I86" i="1"/>
  <c r="AI85" i="1"/>
  <c r="AH85" i="1"/>
  <c r="AG85" i="1"/>
  <c r="AF85" i="1"/>
  <c r="AE85" i="1"/>
  <c r="AD85" i="1"/>
  <c r="AC85" i="1"/>
  <c r="AB85" i="1"/>
  <c r="AA85" i="1"/>
  <c r="Z85" i="1"/>
  <c r="Y85" i="1"/>
  <c r="X85" i="1"/>
  <c r="AI84" i="1"/>
  <c r="AH84" i="1"/>
  <c r="AG84" i="1"/>
  <c r="AF84" i="1"/>
  <c r="AE84" i="1"/>
  <c r="AD84" i="1"/>
  <c r="AC84" i="1"/>
  <c r="AB84" i="1"/>
  <c r="AA84" i="1"/>
  <c r="Z84" i="1"/>
  <c r="Y84" i="1"/>
  <c r="X84" i="1"/>
  <c r="C84" i="1"/>
  <c r="AI83" i="1"/>
  <c r="AH83" i="1"/>
  <c r="AG83" i="1"/>
  <c r="AF83" i="1"/>
  <c r="AE83" i="1"/>
  <c r="AD83" i="1"/>
  <c r="AC83" i="1"/>
  <c r="AB83" i="1"/>
  <c r="AA83" i="1"/>
  <c r="Z83" i="1"/>
  <c r="Y83" i="1"/>
  <c r="X83" i="1"/>
  <c r="L83" i="1" a="1"/>
  <c r="L83" i="1" s="1"/>
  <c r="X82" i="1"/>
  <c r="F82" i="1"/>
  <c r="C82" i="1"/>
  <c r="AD81" i="1"/>
  <c r="X81" i="1"/>
  <c r="P81" i="1" a="1"/>
  <c r="P81" i="1" s="1"/>
  <c r="O81" i="1" s="1"/>
  <c r="C81" i="1"/>
  <c r="X80" i="1"/>
  <c r="C80" i="1"/>
  <c r="P80" i="1" a="1"/>
  <c r="P80" i="1" s="1"/>
  <c r="C79" i="1"/>
  <c r="I76" i="1"/>
  <c r="G76" i="1"/>
  <c r="K72" i="1"/>
  <c r="G71" i="1"/>
  <c r="G70" i="1"/>
  <c r="E70" i="1"/>
  <c r="AD29" i="1" s="1"/>
  <c r="AD53" i="1" s="1"/>
  <c r="K69" i="1"/>
  <c r="P64" i="1" a="1"/>
  <c r="P64" i="1" s="1"/>
  <c r="O64" i="1" s="1"/>
  <c r="E95" i="1"/>
  <c r="E71" i="1"/>
  <c r="AD41" i="1" s="1"/>
  <c r="E96" i="1"/>
  <c r="E98" i="1" s="1"/>
  <c r="I62" i="1"/>
  <c r="K98" i="1"/>
  <c r="K74" i="1"/>
  <c r="K50" i="1"/>
  <c r="G61" i="1"/>
  <c r="K97" i="1"/>
  <c r="AE48" i="1" s="1"/>
  <c r="K73" i="1"/>
  <c r="AD46" i="1" s="1"/>
  <c r="K49" i="1"/>
  <c r="AC46" i="1" s="1"/>
  <c r="F60" i="1"/>
  <c r="D60" i="1" a="1"/>
  <c r="D60" i="1" s="1"/>
  <c r="C60" i="1"/>
  <c r="AE59" i="1"/>
  <c r="K96" i="1"/>
  <c r="AE45" i="1" s="1"/>
  <c r="P59" i="1" a="1"/>
  <c r="P59" i="1" s="1"/>
  <c r="L59" i="1" a="1"/>
  <c r="L59" i="1" s="1"/>
  <c r="G59" i="1"/>
  <c r="F59" i="1"/>
  <c r="D59" i="1" a="1"/>
  <c r="D59" i="1" s="1"/>
  <c r="K71" i="1"/>
  <c r="AD43" i="1" s="1"/>
  <c r="L58" i="1"/>
  <c r="L58" i="1" a="1"/>
  <c r="H58" i="1"/>
  <c r="F58" i="1"/>
  <c r="D58" i="1" a="1"/>
  <c r="D58" i="1" s="1"/>
  <c r="K94" i="1"/>
  <c r="AE42" i="1" s="1"/>
  <c r="K70" i="1"/>
  <c r="AD42" i="1" s="1"/>
  <c r="L57" i="1" a="1"/>
  <c r="H57" i="1"/>
  <c r="G57" i="1"/>
  <c r="AD56" i="1"/>
  <c r="AC56" i="1"/>
  <c r="AB56" i="1"/>
  <c r="K93" i="1"/>
  <c r="AE40" i="1" s="1"/>
  <c r="H56" i="1"/>
  <c r="G56" i="1"/>
  <c r="F56" i="1"/>
  <c r="K92" i="1"/>
  <c r="AE38" i="1" s="1"/>
  <c r="K68" i="1"/>
  <c r="AD38" i="1" s="1"/>
  <c r="AE54" i="1"/>
  <c r="K91" i="1"/>
  <c r="AE37" i="1" s="1"/>
  <c r="K67" i="1"/>
  <c r="AD37" i="1" s="1"/>
  <c r="G93" i="1"/>
  <c r="G69" i="1"/>
  <c r="G45" i="1"/>
  <c r="F53" i="1"/>
  <c r="B107" i="1"/>
  <c r="AD52" i="1"/>
  <c r="AC52" i="1"/>
  <c r="AB52" i="1"/>
  <c r="G92" i="1"/>
  <c r="G68" i="1"/>
  <c r="G20" i="1"/>
  <c r="P52" i="1" a="1"/>
  <c r="P52" i="1" s="1"/>
  <c r="G52" i="1"/>
  <c r="F52" i="1"/>
  <c r="AE51" i="1"/>
  <c r="G91" i="1"/>
  <c r="G67" i="1"/>
  <c r="G19" i="1"/>
  <c r="C94" i="1"/>
  <c r="C70" i="1"/>
  <c r="C93" i="1"/>
  <c r="C69" i="1"/>
  <c r="K48" i="1"/>
  <c r="AC44" i="1" s="1"/>
  <c r="AE47" i="1"/>
  <c r="AD47" i="1"/>
  <c r="AC47" i="1"/>
  <c r="C91" i="1"/>
  <c r="AP377" i="1" s="1"/>
  <c r="C67" i="1"/>
  <c r="C43" i="1"/>
  <c r="K47" i="1"/>
  <c r="AC43" i="1" s="1"/>
  <c r="G47" i="1"/>
  <c r="E47" i="1"/>
  <c r="AC41" i="1" s="1"/>
  <c r="K46" i="1"/>
  <c r="AC42" i="1" s="1"/>
  <c r="G46" i="1"/>
  <c r="E46" i="1"/>
  <c r="AC29" i="1" s="1"/>
  <c r="C46" i="1"/>
  <c r="K45" i="1"/>
  <c r="AC39" i="1" s="1"/>
  <c r="C45" i="1"/>
  <c r="AD44" i="1"/>
  <c r="K44" i="1"/>
  <c r="G44" i="1"/>
  <c r="K43" i="1"/>
  <c r="AC37" i="1" s="1"/>
  <c r="G43" i="1"/>
  <c r="AB42" i="1"/>
  <c r="AE41" i="1"/>
  <c r="AD39" i="1"/>
  <c r="AC38" i="1"/>
  <c r="F38" i="1"/>
  <c r="P37" i="1" a="1"/>
  <c r="P37" i="1" s="1"/>
  <c r="I36" i="1"/>
  <c r="G35" i="1"/>
  <c r="P34" i="1" a="1"/>
  <c r="P34" i="1" s="1"/>
  <c r="L34" i="1" a="1"/>
  <c r="L34" i="1" s="1"/>
  <c r="H34" i="1"/>
  <c r="G34" i="1"/>
  <c r="F34" i="1"/>
  <c r="L33" i="1" a="1"/>
  <c r="P32" i="1" a="1"/>
  <c r="P32" i="1" s="1"/>
  <c r="H32" i="1"/>
  <c r="D32" i="1" a="1"/>
  <c r="D32" i="1" s="1"/>
  <c r="F32" i="1"/>
  <c r="H31" i="1"/>
  <c r="J106" i="1"/>
  <c r="AE29" i="1"/>
  <c r="AE53" i="1" s="1"/>
  <c r="H29" i="1"/>
  <c r="I28" i="1"/>
  <c r="G28" i="1"/>
  <c r="F28" i="1"/>
  <c r="K26" i="1"/>
  <c r="AB47" i="1" s="1"/>
  <c r="K25" i="1"/>
  <c r="AB46" i="1" s="1"/>
  <c r="K24" i="1"/>
  <c r="AB44" i="1" s="1"/>
  <c r="K23" i="1"/>
  <c r="AB43" i="1" s="1"/>
  <c r="G23" i="1"/>
  <c r="E23" i="1"/>
  <c r="AB41" i="1" s="1"/>
  <c r="K22" i="1"/>
  <c r="G22" i="1"/>
  <c r="E22" i="1"/>
  <c r="AB29" i="1" s="1"/>
  <c r="C22" i="1"/>
  <c r="K21" i="1"/>
  <c r="AB39" i="1" s="1"/>
  <c r="G21" i="1"/>
  <c r="C21" i="1"/>
  <c r="K20" i="1"/>
  <c r="AB38" i="1" s="1"/>
  <c r="K19" i="1"/>
  <c r="AB37" i="1" s="1"/>
  <c r="C19" i="1"/>
  <c r="AP179" i="1" s="1"/>
  <c r="F16" i="1"/>
  <c r="I16" i="1"/>
  <c r="I14" i="1"/>
  <c r="G13" i="1"/>
  <c r="I12" i="1"/>
  <c r="C12" i="1"/>
  <c r="P11" i="1" a="1"/>
  <c r="P11" i="1" s="1"/>
  <c r="G9" i="1"/>
  <c r="P9" i="1" a="1"/>
  <c r="P9" i="1" s="1"/>
  <c r="F8" i="1"/>
  <c r="F7" i="1"/>
  <c r="J105" i="1"/>
  <c r="H5" i="1"/>
  <c r="F5" i="1"/>
  <c r="G4" i="1"/>
  <c r="B3" i="1"/>
  <c r="E48" i="1" l="1"/>
  <c r="E50" i="1" s="1"/>
  <c r="M107" i="1"/>
  <c r="AR272" i="1"/>
  <c r="G37" i="1"/>
  <c r="L57" i="1"/>
  <c r="G82" i="1"/>
  <c r="I4" i="1"/>
  <c r="C11" i="1"/>
  <c r="N11" i="1" s="1"/>
  <c r="H53" i="1"/>
  <c r="P57" i="1" a="1"/>
  <c r="P57" i="1" s="1"/>
  <c r="O57" i="1" s="1"/>
  <c r="H59" i="1"/>
  <c r="G60" i="1"/>
  <c r="P79" i="1" a="1"/>
  <c r="P79" i="1" s="1"/>
  <c r="O79" i="1" s="1"/>
  <c r="P82" i="1" a="1"/>
  <c r="P82" i="1" s="1"/>
  <c r="O82" i="1" s="1"/>
  <c r="C55" i="1"/>
  <c r="F11" i="1"/>
  <c r="G8" i="1"/>
  <c r="G11" i="1"/>
  <c r="L33" i="1"/>
  <c r="C57" i="1"/>
  <c r="H8" i="1"/>
  <c r="H11" i="1"/>
  <c r="F29" i="1"/>
  <c r="F55" i="1"/>
  <c r="D57" i="1" a="1"/>
  <c r="D57" i="1" s="1"/>
  <c r="F62" i="1"/>
  <c r="F64" i="1"/>
  <c r="G80" i="1"/>
  <c r="F86" i="1"/>
  <c r="F4" i="1"/>
  <c r="P4" i="1" a="1"/>
  <c r="P4" i="1" s="1"/>
  <c r="O4" i="1" s="1"/>
  <c r="C34" i="1"/>
  <c r="N34" i="1" s="1"/>
  <c r="D36" i="1" a="1"/>
  <c r="D36" i="1" s="1"/>
  <c r="G55" i="1"/>
  <c r="P56" i="1" a="1"/>
  <c r="P56" i="1" s="1"/>
  <c r="O56" i="1" s="1"/>
  <c r="F57" i="1"/>
  <c r="C58" i="1"/>
  <c r="E58" i="1" s="1"/>
  <c r="C59" i="1"/>
  <c r="E59" i="1" s="1"/>
  <c r="I64" i="1"/>
  <c r="H80" i="1"/>
  <c r="D34" i="1" a="1"/>
  <c r="D34" i="1" s="1"/>
  <c r="P55" i="1" a="1"/>
  <c r="P55" i="1" s="1"/>
  <c r="O55" i="1" s="1"/>
  <c r="I60" i="1"/>
  <c r="T5" i="1"/>
  <c r="T6" i="1"/>
  <c r="T3" i="1"/>
  <c r="T4" i="1"/>
  <c r="E24" i="1"/>
  <c r="E26" i="1" s="1"/>
  <c r="AB33" i="1" s="1"/>
  <c r="E60" i="1"/>
  <c r="AC53" i="1"/>
  <c r="AB53" i="1"/>
  <c r="O59" i="1"/>
  <c r="I33" i="1"/>
  <c r="O37" i="1"/>
  <c r="I39" i="1"/>
  <c r="O11" i="1"/>
  <c r="O9" i="1"/>
  <c r="BO179" i="1"/>
  <c r="BG179" i="1"/>
  <c r="AY179" i="1"/>
  <c r="AQ179" i="1"/>
  <c r="BN179" i="1"/>
  <c r="BF179" i="1"/>
  <c r="AX179" i="1"/>
  <c r="BL179" i="1"/>
  <c r="BD179" i="1"/>
  <c r="AV179" i="1"/>
  <c r="AP198" i="1"/>
  <c r="AP180" i="1"/>
  <c r="BI179" i="1"/>
  <c r="BA179" i="1"/>
  <c r="AS179" i="1"/>
  <c r="BH179" i="1"/>
  <c r="AR179" i="1"/>
  <c r="BE179" i="1"/>
  <c r="BC179" i="1"/>
  <c r="BB179" i="1"/>
  <c r="AZ179" i="1"/>
  <c r="BM179" i="1"/>
  <c r="AW179" i="1"/>
  <c r="BK179" i="1"/>
  <c r="BJ179" i="1"/>
  <c r="AU179" i="1"/>
  <c r="AT179" i="1"/>
  <c r="C7" i="1"/>
  <c r="P8" i="1" a="1"/>
  <c r="P8" i="1" s="1"/>
  <c r="H9" i="1"/>
  <c r="C10" i="1"/>
  <c r="P16" i="1" a="1"/>
  <c r="P16" i="1" s="1"/>
  <c r="AF29" i="1"/>
  <c r="G32" i="1"/>
  <c r="C33" i="1"/>
  <c r="C35" i="1"/>
  <c r="A35" i="1"/>
  <c r="O60" i="1"/>
  <c r="H77" i="1"/>
  <c r="F77" i="1"/>
  <c r="P77" i="1" a="1"/>
  <c r="P77" i="1" s="1"/>
  <c r="O80" i="1"/>
  <c r="R117" i="1"/>
  <c r="BC194" i="1"/>
  <c r="I9" i="1"/>
  <c r="D10" i="1" a="1"/>
  <c r="D10" i="1" s="1"/>
  <c r="D12" i="1" a="1"/>
  <c r="D12" i="1" s="1"/>
  <c r="E12" i="1" s="1"/>
  <c r="S116" i="1"/>
  <c r="P31" i="1" a="1"/>
  <c r="P31" i="1" s="1"/>
  <c r="G31" i="1"/>
  <c r="F31" i="1"/>
  <c r="L31" i="1" a="1"/>
  <c r="L31" i="1" s="1"/>
  <c r="M116" i="1" s="1"/>
  <c r="D33" i="1" a="1"/>
  <c r="D33" i="1" s="1"/>
  <c r="P33" i="1" a="1"/>
  <c r="P33" i="1" s="1"/>
  <c r="O34" i="1"/>
  <c r="F35" i="1"/>
  <c r="F40" i="1"/>
  <c r="AP245" i="1"/>
  <c r="C44" i="1"/>
  <c r="H51" i="1"/>
  <c r="I5" i="1"/>
  <c r="C31" i="1"/>
  <c r="F33" i="1"/>
  <c r="P36" i="1" a="1"/>
  <c r="P36" i="1" s="1"/>
  <c r="G36" i="1"/>
  <c r="F36" i="1"/>
  <c r="C36" i="1"/>
  <c r="AP311" i="1"/>
  <c r="C68" i="1"/>
  <c r="O52" i="1"/>
  <c r="K116" i="1"/>
  <c r="P116" i="1" s="1"/>
  <c r="O32" i="1"/>
  <c r="L35" i="1" a="1"/>
  <c r="L35" i="1" s="1"/>
  <c r="D35" i="1" a="1"/>
  <c r="D35" i="1" s="1"/>
  <c r="H35" i="1"/>
  <c r="D40" i="1" a="1"/>
  <c r="D40" i="1" s="1"/>
  <c r="L4" i="1" a="1"/>
  <c r="L4" i="1" s="1"/>
  <c r="P7" i="1" a="1"/>
  <c r="P7" i="1" s="1"/>
  <c r="I8" i="1"/>
  <c r="C9" i="1"/>
  <c r="F10" i="1"/>
  <c r="P10" i="1" a="1"/>
  <c r="P10" i="1" s="1"/>
  <c r="P12" i="1" a="1"/>
  <c r="P12" i="1" s="1"/>
  <c r="P14" i="1" a="1"/>
  <c r="P14" i="1" s="1"/>
  <c r="H16" i="1"/>
  <c r="D31" i="1" a="1"/>
  <c r="D31" i="1" s="1"/>
  <c r="G33" i="1"/>
  <c r="I40" i="1"/>
  <c r="E72" i="1"/>
  <c r="E74" i="1" s="1"/>
  <c r="AD109" i="1"/>
  <c r="G3" i="1"/>
  <c r="G7" i="1"/>
  <c r="D9" i="1" a="1"/>
  <c r="D9" i="1" s="1"/>
  <c r="G10" i="1"/>
  <c r="A11" i="1"/>
  <c r="F12" i="1"/>
  <c r="F14" i="1"/>
  <c r="H17" i="1"/>
  <c r="L32" i="1" a="1"/>
  <c r="L32" i="1" s="1"/>
  <c r="M117" i="1" s="1"/>
  <c r="H33" i="1"/>
  <c r="L39" i="1" a="1"/>
  <c r="L39" i="1" s="1"/>
  <c r="T120" i="1"/>
  <c r="T119" i="1"/>
  <c r="T118" i="1"/>
  <c r="T117" i="1"/>
  <c r="T116" i="1"/>
  <c r="T114" i="1"/>
  <c r="P6" i="1" a="1"/>
  <c r="P6" i="1" s="1"/>
  <c r="H7" i="1"/>
  <c r="C8" i="1"/>
  <c r="E8" i="1" s="1"/>
  <c r="H10" i="1"/>
  <c r="D11" i="1" a="1"/>
  <c r="D11" i="1" s="1"/>
  <c r="G12" i="1"/>
  <c r="K99" i="1"/>
  <c r="C20" i="1"/>
  <c r="C32" i="1"/>
  <c r="E32" i="1" s="1"/>
  <c r="L52" i="1" a="1"/>
  <c r="L52" i="1" s="1"/>
  <c r="O130" i="1"/>
  <c r="R122" i="1"/>
  <c r="R121" i="1"/>
  <c r="N130" i="1"/>
  <c r="R123" i="1"/>
  <c r="M130" i="1"/>
  <c r="O129" i="1"/>
  <c r="M120" i="1"/>
  <c r="M119" i="1"/>
  <c r="M118" i="1"/>
  <c r="N129" i="1"/>
  <c r="M129" i="1"/>
  <c r="M122" i="1"/>
  <c r="M121" i="1"/>
  <c r="K120" i="1"/>
  <c r="P120" i="1" s="1"/>
  <c r="K119" i="1"/>
  <c r="P119" i="1" s="1"/>
  <c r="K118" i="1"/>
  <c r="P118" i="1" s="1"/>
  <c r="K117" i="1"/>
  <c r="P117" i="1" s="1"/>
  <c r="N128" i="1"/>
  <c r="M114" i="1"/>
  <c r="I7" i="1"/>
  <c r="F9" i="1"/>
  <c r="D16" i="1" a="1"/>
  <c r="D16" i="1" s="1"/>
  <c r="AF53" i="1"/>
  <c r="P35" i="1" a="1"/>
  <c r="P35" i="1" s="1"/>
  <c r="T113" i="1"/>
  <c r="I38" i="1"/>
  <c r="H55" i="1"/>
  <c r="C92" i="1"/>
  <c r="P75" i="1" a="1"/>
  <c r="P75" i="1" s="1"/>
  <c r="T112" i="1"/>
  <c r="H3" i="1"/>
  <c r="F80" i="1"/>
  <c r="X112" i="1"/>
  <c r="V112" i="1" s="1"/>
  <c r="G51" i="1"/>
  <c r="R112" i="1"/>
  <c r="R120" i="1"/>
  <c r="U121" i="1"/>
  <c r="I52" i="1"/>
  <c r="F81" i="1"/>
  <c r="L81" i="1" a="1"/>
  <c r="L81" i="1" s="1"/>
  <c r="D81" i="1" a="1"/>
  <c r="D81" i="1" s="1"/>
  <c r="N81" i="1" s="1"/>
  <c r="Q81" i="1" s="1"/>
  <c r="H81" i="1"/>
  <c r="G84" i="1"/>
  <c r="C51" i="1"/>
  <c r="S112" i="1"/>
  <c r="R116" i="1"/>
  <c r="H83" i="1"/>
  <c r="C83" i="1"/>
  <c r="G87" i="1"/>
  <c r="F87" i="1"/>
  <c r="U112" i="1"/>
  <c r="P30" i="1" a="1"/>
  <c r="P30" i="1" s="1"/>
  <c r="S115" i="1"/>
  <c r="K115" i="1"/>
  <c r="X115" i="1"/>
  <c r="V115" i="1" s="1"/>
  <c r="F78" i="1"/>
  <c r="U115" i="1"/>
  <c r="M115" i="1"/>
  <c r="D30" i="1" a="1"/>
  <c r="D30" i="1" s="1"/>
  <c r="R115" i="1"/>
  <c r="R118" i="1"/>
  <c r="H65" i="1"/>
  <c r="P76" i="1" a="1"/>
  <c r="P76" i="1" s="1"/>
  <c r="F79" i="1"/>
  <c r="D83" i="1" a="1"/>
  <c r="D83" i="1" s="1"/>
  <c r="P83" i="1" a="1"/>
  <c r="P83" i="1" s="1"/>
  <c r="F3" i="1"/>
  <c r="T115" i="1"/>
  <c r="D79" i="1" a="1"/>
  <c r="D79" i="1" s="1"/>
  <c r="E79" i="1" s="1"/>
  <c r="O128" i="1"/>
  <c r="C37" i="1"/>
  <c r="P54" i="1" a="1"/>
  <c r="P54" i="1" s="1"/>
  <c r="C56" i="1"/>
  <c r="C76" i="1"/>
  <c r="C78" i="1"/>
  <c r="P78" i="1" a="1"/>
  <c r="P78" i="1" s="1"/>
  <c r="G79" i="1"/>
  <c r="F84" i="1"/>
  <c r="AF109" i="1"/>
  <c r="I75" i="1"/>
  <c r="P3" i="1" a="1"/>
  <c r="P3" i="1" s="1"/>
  <c r="D78" i="1" a="1"/>
  <c r="D78" i="1" s="1"/>
  <c r="D55" i="1" a="1"/>
  <c r="D55" i="1" s="1"/>
  <c r="AP146" i="1"/>
  <c r="AP158" i="1" s="1"/>
  <c r="AP153" i="1"/>
  <c r="BI181" i="1"/>
  <c r="BI196" i="1" s="1"/>
  <c r="BA181" i="1"/>
  <c r="BA196" i="1" s="1"/>
  <c r="AS181" i="1"/>
  <c r="AS196" i="1" s="1"/>
  <c r="BH181" i="1"/>
  <c r="BH196" i="1" s="1"/>
  <c r="AZ181" i="1"/>
  <c r="AZ196" i="1" s="1"/>
  <c r="BO181" i="1"/>
  <c r="BO196" i="1" s="1"/>
  <c r="BG181" i="1"/>
  <c r="BG196" i="1" s="1"/>
  <c r="AY181" i="1"/>
  <c r="AY196" i="1" s="1"/>
  <c r="AN196" i="1"/>
  <c r="BN181" i="1"/>
  <c r="BN196" i="1" s="1"/>
  <c r="BF181" i="1"/>
  <c r="BF196" i="1" s="1"/>
  <c r="AX181" i="1"/>
  <c r="AX196" i="1" s="1"/>
  <c r="BK181" i="1"/>
  <c r="BK196" i="1" s="1"/>
  <c r="BC181" i="1"/>
  <c r="BC196" i="1" s="1"/>
  <c r="BJ181" i="1"/>
  <c r="BJ196" i="1" s="1"/>
  <c r="BE181" i="1"/>
  <c r="BE196" i="1" s="1"/>
  <c r="BD181" i="1"/>
  <c r="BD196" i="1" s="1"/>
  <c r="BB181" i="1"/>
  <c r="BB196" i="1" s="1"/>
  <c r="AN178" i="1"/>
  <c r="BM181" i="1"/>
  <c r="BM196" i="1" s="1"/>
  <c r="BL181" i="1"/>
  <c r="BL196" i="1" s="1"/>
  <c r="AT181" i="1"/>
  <c r="AT196" i="1" s="1"/>
  <c r="S121" i="1"/>
  <c r="S120" i="1"/>
  <c r="S119" i="1"/>
  <c r="S118" i="1"/>
  <c r="S117" i="1"/>
  <c r="BO377" i="1"/>
  <c r="BG377" i="1"/>
  <c r="AY377" i="1"/>
  <c r="AQ377" i="1"/>
  <c r="BN377" i="1"/>
  <c r="BF377" i="1"/>
  <c r="AX377" i="1"/>
  <c r="BM377" i="1"/>
  <c r="BE377" i="1"/>
  <c r="AW377" i="1"/>
  <c r="BL377" i="1"/>
  <c r="BD377" i="1"/>
  <c r="AV377" i="1"/>
  <c r="AP396" i="1"/>
  <c r="BK377" i="1"/>
  <c r="BC377" i="1"/>
  <c r="AU377" i="1"/>
  <c r="BJ377" i="1"/>
  <c r="BB377" i="1"/>
  <c r="AT377" i="1"/>
  <c r="AP378" i="1"/>
  <c r="BI377" i="1"/>
  <c r="BA377" i="1"/>
  <c r="AS377" i="1"/>
  <c r="AZ377" i="1"/>
  <c r="AR377" i="1"/>
  <c r="BH377" i="1"/>
  <c r="D56" i="1" a="1"/>
  <c r="D56" i="1" s="1"/>
  <c r="P58" i="1" a="1"/>
  <c r="P58" i="1" s="1"/>
  <c r="G58" i="1"/>
  <c r="P62" i="1" a="1"/>
  <c r="P62" i="1" s="1"/>
  <c r="H79" i="1"/>
  <c r="G81" i="1"/>
  <c r="F83" i="1"/>
  <c r="I84" i="1"/>
  <c r="I88" i="1"/>
  <c r="K112" i="1"/>
  <c r="H54" i="1"/>
  <c r="R119" i="1"/>
  <c r="T130" i="1"/>
  <c r="U130" i="1"/>
  <c r="U123" i="1"/>
  <c r="U129" i="1"/>
  <c r="U120" i="1"/>
  <c r="U119" i="1"/>
  <c r="U118" i="1"/>
  <c r="U117" i="1"/>
  <c r="U116" i="1"/>
  <c r="F75" i="1"/>
  <c r="F76" i="1"/>
  <c r="L82" i="1" a="1"/>
  <c r="L82" i="1" s="1"/>
  <c r="D82" i="1" a="1"/>
  <c r="D82" i="1" s="1"/>
  <c r="E82" i="1" s="1"/>
  <c r="H82" i="1"/>
  <c r="G83" i="1"/>
  <c r="X109" i="1"/>
  <c r="AH109" i="1"/>
  <c r="D76" i="1" a="1"/>
  <c r="D76" i="1" s="1"/>
  <c r="U113" i="1"/>
  <c r="M113" i="1"/>
  <c r="D28" i="1" a="1"/>
  <c r="D28" i="1" s="1"/>
  <c r="P28" i="1" a="1"/>
  <c r="P28" i="1" s="1"/>
  <c r="S113" i="1"/>
  <c r="K113" i="1"/>
  <c r="P113" i="1" s="1"/>
  <c r="R113" i="1"/>
  <c r="U114" i="1"/>
  <c r="D80" i="1" a="1"/>
  <c r="D80" i="1" s="1"/>
  <c r="E80" i="1" s="1"/>
  <c r="G85" i="1"/>
  <c r="P85" i="1" a="1"/>
  <c r="P85" i="1" s="1"/>
  <c r="X114" i="1"/>
  <c r="V114" i="1" s="1"/>
  <c r="L77" i="1" s="1" a="1"/>
  <c r="L77" i="1" s="1"/>
  <c r="I31" i="1"/>
  <c r="I32" i="1"/>
  <c r="I81" i="1"/>
  <c r="I35" i="1"/>
  <c r="T121" i="1"/>
  <c r="L84" i="1" a="1"/>
  <c r="L84" i="1" s="1"/>
  <c r="D84" i="1" a="1"/>
  <c r="D84" i="1" s="1"/>
  <c r="E84" i="1" s="1"/>
  <c r="K121" i="1"/>
  <c r="N60" i="1"/>
  <c r="I37" i="1"/>
  <c r="P13" i="1" a="1"/>
  <c r="P13" i="1" s="1"/>
  <c r="M123" i="1"/>
  <c r="F39" i="1"/>
  <c r="F89" i="1"/>
  <c r="P65" i="1" a="1"/>
  <c r="P65" i="1" s="1"/>
  <c r="AR140" i="1"/>
  <c r="AR145" i="1"/>
  <c r="AR173" i="1"/>
  <c r="AR168" i="1" s="1"/>
  <c r="AR167" i="1" s="1"/>
  <c r="BI173" i="1"/>
  <c r="BI168" i="1" s="1"/>
  <c r="BL177" i="1"/>
  <c r="BL195" i="1" s="1"/>
  <c r="BD177" i="1"/>
  <c r="BD195" i="1" s="1"/>
  <c r="AV177" i="1"/>
  <c r="AV195" i="1" s="1"/>
  <c r="BK177" i="1"/>
  <c r="BK195" i="1" s="1"/>
  <c r="BC177" i="1"/>
  <c r="BC195" i="1" s="1"/>
  <c r="AU177" i="1"/>
  <c r="AU195" i="1" s="1"/>
  <c r="BI177" i="1"/>
  <c r="BI195" i="1" s="1"/>
  <c r="BA177" i="1"/>
  <c r="BA195" i="1" s="1"/>
  <c r="AN195" i="1"/>
  <c r="BN177" i="1"/>
  <c r="BN195" i="1" s="1"/>
  <c r="BM177" i="1"/>
  <c r="BM195" i="1" s="1"/>
  <c r="AY177" i="1"/>
  <c r="AY195" i="1" s="1"/>
  <c r="BJ177" i="1"/>
  <c r="BJ195" i="1" s="1"/>
  <c r="AX177" i="1"/>
  <c r="AX195" i="1" s="1"/>
  <c r="BH177" i="1"/>
  <c r="BH195" i="1" s="1"/>
  <c r="AW177" i="1"/>
  <c r="AW195" i="1" s="1"/>
  <c r="BG177" i="1"/>
  <c r="BG195" i="1" s="1"/>
  <c r="AT177" i="1"/>
  <c r="AT195" i="1" s="1"/>
  <c r="BF177" i="1"/>
  <c r="BF195" i="1" s="1"/>
  <c r="BE177" i="1"/>
  <c r="BE195" i="1" s="1"/>
  <c r="T124" i="1"/>
  <c r="L14" i="1" a="1"/>
  <c r="L14" i="1" s="1"/>
  <c r="S124" i="1"/>
  <c r="K124" i="1"/>
  <c r="C14" i="1"/>
  <c r="P86" i="1" a="1"/>
  <c r="P86" i="1" s="1"/>
  <c r="H86" i="1"/>
  <c r="P38" i="1" a="1"/>
  <c r="P38" i="1" s="1"/>
  <c r="G14" i="1"/>
  <c r="R124" i="1"/>
  <c r="I87" i="1"/>
  <c r="T126" i="1"/>
  <c r="L40" i="1" a="1"/>
  <c r="L40" i="1" s="1"/>
  <c r="D64" i="1" a="1"/>
  <c r="D64" i="1" s="1"/>
  <c r="S126" i="1"/>
  <c r="K126" i="1"/>
  <c r="P88" i="1" a="1"/>
  <c r="P88" i="1" s="1"/>
  <c r="P40" i="1" a="1"/>
  <c r="P40" i="1" s="1"/>
  <c r="R126" i="1"/>
  <c r="I65" i="1"/>
  <c r="T128" i="1"/>
  <c r="S128" i="1"/>
  <c r="K128" i="1"/>
  <c r="Q128" i="1"/>
  <c r="R128" i="1"/>
  <c r="AQ191" i="1"/>
  <c r="BN191" i="1"/>
  <c r="I85" i="1"/>
  <c r="I53" i="1"/>
  <c r="R114" i="1"/>
  <c r="T123" i="1"/>
  <c r="S123" i="1"/>
  <c r="K123" i="1"/>
  <c r="U124" i="1"/>
  <c r="M125" i="1"/>
  <c r="U126" i="1"/>
  <c r="M127" i="1"/>
  <c r="U128" i="1"/>
  <c r="AQ140" i="1"/>
  <c r="AZ177" i="1"/>
  <c r="AZ195" i="1" s="1"/>
  <c r="C5" i="1"/>
  <c r="K114" i="1"/>
  <c r="S114" i="1"/>
  <c r="T122" i="1"/>
  <c r="L37" i="1" a="1"/>
  <c r="L37" i="1" s="1"/>
  <c r="D13" i="1" a="1"/>
  <c r="D13" i="1" s="1"/>
  <c r="S122" i="1"/>
  <c r="K122" i="1"/>
  <c r="D37" i="1" a="1"/>
  <c r="D37" i="1" s="1"/>
  <c r="H13" i="1"/>
  <c r="D86" i="1" a="1"/>
  <c r="D86" i="1" s="1"/>
  <c r="D88" i="1" a="1"/>
  <c r="D88" i="1" s="1"/>
  <c r="BM173" i="1"/>
  <c r="BM168" i="1" s="1"/>
  <c r="BE173" i="1"/>
  <c r="BE168" i="1" s="1"/>
  <c r="BL173" i="1"/>
  <c r="BL168" i="1" s="1"/>
  <c r="BL167" i="1" s="1"/>
  <c r="BD173" i="1"/>
  <c r="BD168" i="1" s="1"/>
  <c r="BJ173" i="1"/>
  <c r="BJ168" i="1" s="1"/>
  <c r="BJ167" i="1" s="1"/>
  <c r="BC173" i="1"/>
  <c r="BC168" i="1" s="1"/>
  <c r="BC167" i="1" s="1"/>
  <c r="AU173" i="1"/>
  <c r="AU168" i="1" s="1"/>
  <c r="AU167" i="1" s="1"/>
  <c r="BO173" i="1"/>
  <c r="BO168" i="1" s="1"/>
  <c r="BO167" i="1" s="1"/>
  <c r="BB173" i="1"/>
  <c r="BB168" i="1" s="1"/>
  <c r="BB167" i="1" s="1"/>
  <c r="AT173" i="1"/>
  <c r="AT168" i="1" s="1"/>
  <c r="AT167" i="1" s="1"/>
  <c r="BN173" i="1"/>
  <c r="BN168" i="1" s="1"/>
  <c r="BN167" i="1" s="1"/>
  <c r="BA173" i="1"/>
  <c r="BA168" i="1" s="1"/>
  <c r="AS173" i="1"/>
  <c r="AS168" i="1" s="1"/>
  <c r="BK173" i="1"/>
  <c r="BK168" i="1" s="1"/>
  <c r="BK167" i="1" s="1"/>
  <c r="AZ173" i="1"/>
  <c r="AZ168" i="1" s="1"/>
  <c r="AY173" i="1"/>
  <c r="AY168" i="1" s="1"/>
  <c r="AX173" i="1"/>
  <c r="AX168" i="1" s="1"/>
  <c r="BB177" i="1"/>
  <c r="BB195" i="1" s="1"/>
  <c r="AV167" i="1"/>
  <c r="BO176" i="1"/>
  <c r="BG176" i="1"/>
  <c r="AY176" i="1"/>
  <c r="AN194" i="1"/>
  <c r="AN188" i="1" s="1"/>
  <c r="BN176" i="1"/>
  <c r="BF176" i="1"/>
  <c r="AX176" i="1"/>
  <c r="BL176" i="1"/>
  <c r="BD176" i="1"/>
  <c r="AV176" i="1"/>
  <c r="BM176" i="1"/>
  <c r="BA176" i="1"/>
  <c r="AN175" i="1"/>
  <c r="AN166" i="1" s="1"/>
  <c r="BK176" i="1"/>
  <c r="AZ176" i="1"/>
  <c r="BJ176" i="1"/>
  <c r="AW176" i="1"/>
  <c r="BI176" i="1"/>
  <c r="AU176" i="1"/>
  <c r="BH176" i="1"/>
  <c r="BE176" i="1"/>
  <c r="AS176" i="1"/>
  <c r="AT184" i="1"/>
  <c r="T125" i="1"/>
  <c r="S125" i="1"/>
  <c r="K125" i="1"/>
  <c r="C63" i="1"/>
  <c r="D87" i="1" a="1"/>
  <c r="D87" i="1" s="1"/>
  <c r="H87" i="1"/>
  <c r="P39" i="1" a="1"/>
  <c r="P39" i="1" s="1"/>
  <c r="G39" i="1"/>
  <c r="R125" i="1"/>
  <c r="T127" i="1"/>
  <c r="D65" i="1" a="1"/>
  <c r="D65" i="1" s="1"/>
  <c r="S127" i="1"/>
  <c r="K127" i="1"/>
  <c r="C17" i="1"/>
  <c r="H41" i="1"/>
  <c r="P41" i="1" a="1"/>
  <c r="P41" i="1" s="1"/>
  <c r="R127" i="1"/>
  <c r="T129" i="1"/>
  <c r="AW173" i="1"/>
  <c r="AW168" i="1" s="1"/>
  <c r="F61" i="1"/>
  <c r="U122" i="1"/>
  <c r="M124" i="1"/>
  <c r="D39" i="1" a="1"/>
  <c r="D39" i="1" s="1"/>
  <c r="U125" i="1"/>
  <c r="M126" i="1"/>
  <c r="U127" i="1"/>
  <c r="M128" i="1"/>
  <c r="BF173" i="1"/>
  <c r="BF168" i="1" s="1"/>
  <c r="BF167" i="1" s="1"/>
  <c r="BB176" i="1"/>
  <c r="BF236" i="1"/>
  <c r="BF258" i="1" s="1"/>
  <c r="AR236" i="1"/>
  <c r="AR258" i="1" s="1"/>
  <c r="BO260" i="1"/>
  <c r="AV169" i="1"/>
  <c r="AV193" i="1" s="1"/>
  <c r="BD169" i="1"/>
  <c r="BD193" i="1" s="1"/>
  <c r="BL169" i="1"/>
  <c r="BL193" i="1" s="1"/>
  <c r="BH173" i="1"/>
  <c r="BH168" i="1" s="1"/>
  <c r="BK184" i="1"/>
  <c r="AP211" i="1"/>
  <c r="A29" i="1" s="1"/>
  <c r="B106" i="1" s="1"/>
  <c r="I106" i="1" s="1"/>
  <c r="M106" i="1" s="1"/>
  <c r="BK186" i="1"/>
  <c r="AQ186" i="1"/>
  <c r="AQ184" i="1" s="1"/>
  <c r="AW169" i="1"/>
  <c r="AW193" i="1" s="1"/>
  <c r="BE169" i="1"/>
  <c r="BE193" i="1" s="1"/>
  <c r="BM169" i="1"/>
  <c r="BM193" i="1" s="1"/>
  <c r="AZ250" i="1"/>
  <c r="BH250" i="1"/>
  <c r="BD252" i="1"/>
  <c r="BD250" i="1" s="1"/>
  <c r="AV252" i="1"/>
  <c r="AV250" i="1" s="1"/>
  <c r="BC252" i="1"/>
  <c r="BC250" i="1" s="1"/>
  <c r="AU252" i="1"/>
  <c r="AU250" i="1" s="1"/>
  <c r="BB252" i="1"/>
  <c r="AT252" i="1"/>
  <c r="BI252" i="1"/>
  <c r="BI250" i="1" s="1"/>
  <c r="BA252" i="1"/>
  <c r="BA250" i="1" s="1"/>
  <c r="AS252" i="1"/>
  <c r="BH252" i="1"/>
  <c r="AZ252" i="1"/>
  <c r="BO252" i="1"/>
  <c r="BO250" i="1" s="1"/>
  <c r="BG252" i="1"/>
  <c r="BG250" i="1" s="1"/>
  <c r="AY252" i="1"/>
  <c r="AY250" i="1" s="1"/>
  <c r="AN250" i="1"/>
  <c r="BN252" i="1"/>
  <c r="BN250" i="1" s="1"/>
  <c r="BF252" i="1"/>
  <c r="BF250" i="1" s="1"/>
  <c r="AX252" i="1"/>
  <c r="AX250" i="1" s="1"/>
  <c r="BM252" i="1"/>
  <c r="BM250" i="1" s="1"/>
  <c r="BE252" i="1"/>
  <c r="BE250" i="1" s="1"/>
  <c r="AW252" i="1"/>
  <c r="AW250" i="1" s="1"/>
  <c r="Q129" i="1"/>
  <c r="Q130" i="1"/>
  <c r="BN169" i="1"/>
  <c r="BN193" i="1" s="1"/>
  <c r="R129" i="1"/>
  <c r="R130" i="1"/>
  <c r="AY169" i="1"/>
  <c r="AY193" i="1" s="1"/>
  <c r="BG169" i="1"/>
  <c r="BG193" i="1" s="1"/>
  <c r="BO169" i="1"/>
  <c r="BO193" i="1" s="1"/>
  <c r="AN192" i="1"/>
  <c r="K129" i="1"/>
  <c r="S129" i="1"/>
  <c r="K130" i="1"/>
  <c r="S130" i="1"/>
  <c r="AZ169" i="1"/>
  <c r="AZ193" i="1" s="1"/>
  <c r="BH169" i="1"/>
  <c r="BH193" i="1" s="1"/>
  <c r="AW170" i="1"/>
  <c r="AW192" i="1" s="1"/>
  <c r="BM170" i="1"/>
  <c r="BM192" i="1" s="1"/>
  <c r="AR206" i="1"/>
  <c r="AS169" i="1"/>
  <c r="AS193" i="1" s="1"/>
  <c r="BI169" i="1"/>
  <c r="BI193" i="1" s="1"/>
  <c r="AX170" i="1"/>
  <c r="AX192" i="1" s="1"/>
  <c r="AR191" i="1"/>
  <c r="AS191" i="1"/>
  <c r="BA191" i="1"/>
  <c r="BI191" i="1"/>
  <c r="AY260" i="1"/>
  <c r="AS250" i="1"/>
  <c r="AP212" i="1"/>
  <c r="AP207" i="1" s="1"/>
  <c r="BH233" i="1"/>
  <c r="AT250" i="1"/>
  <c r="BB250" i="1"/>
  <c r="BC325" i="1"/>
  <c r="BC299" i="1"/>
  <c r="AU191" i="1"/>
  <c r="BC191" i="1"/>
  <c r="BK191" i="1"/>
  <c r="AU182" i="1"/>
  <c r="AU197" i="1" s="1"/>
  <c r="BC182" i="1"/>
  <c r="BC197" i="1" s="1"/>
  <c r="BK182" i="1"/>
  <c r="BK197" i="1" s="1"/>
  <c r="AT186" i="1"/>
  <c r="BB186" i="1"/>
  <c r="BB184" i="1" s="1"/>
  <c r="AV191" i="1"/>
  <c r="BD191" i="1"/>
  <c r="BL191" i="1"/>
  <c r="AW191" i="1"/>
  <c r="BE191" i="1"/>
  <c r="BB235" i="1"/>
  <c r="BB259" i="1" s="1"/>
  <c r="AQ235" i="1"/>
  <c r="AQ259" i="1" s="1"/>
  <c r="BN257" i="1"/>
  <c r="AQ257" i="1"/>
  <c r="BG260" i="1"/>
  <c r="AW182" i="1"/>
  <c r="AW197" i="1" s="1"/>
  <c r="BE182" i="1"/>
  <c r="BE197" i="1" s="1"/>
  <c r="BM182" i="1"/>
  <c r="BM197" i="1" s="1"/>
  <c r="AV186" i="1"/>
  <c r="AV184" i="1" s="1"/>
  <c r="BD186" i="1"/>
  <c r="BD184" i="1" s="1"/>
  <c r="AX191" i="1"/>
  <c r="BF191" i="1"/>
  <c r="BO257" i="1"/>
  <c r="AR257" i="1"/>
  <c r="BF182" i="1"/>
  <c r="BF197" i="1" s="1"/>
  <c r="BN182" i="1"/>
  <c r="BN197" i="1" s="1"/>
  <c r="AW186" i="1"/>
  <c r="AW184" i="1" s="1"/>
  <c r="BE186" i="1"/>
  <c r="BE184" i="1" s="1"/>
  <c r="AY191" i="1"/>
  <c r="AQ236" i="1"/>
  <c r="AQ258" i="1" s="1"/>
  <c r="BE236" i="1"/>
  <c r="BE258" i="1" s="1"/>
  <c r="BL239" i="1"/>
  <c r="BL234" i="1" s="1"/>
  <c r="BL233" i="1" s="1"/>
  <c r="BD239" i="1"/>
  <c r="BD234" i="1" s="1"/>
  <c r="AV239" i="1"/>
  <c r="AV234" i="1" s="1"/>
  <c r="AV233" i="1" s="1"/>
  <c r="AN234" i="1"/>
  <c r="AN233" i="1" s="1"/>
  <c r="BK239" i="1"/>
  <c r="BK234" i="1" s="1"/>
  <c r="BK233" i="1" s="1"/>
  <c r="BC239" i="1"/>
  <c r="BC234" i="1" s="1"/>
  <c r="BC233" i="1" s="1"/>
  <c r="AU239" i="1"/>
  <c r="AU234" i="1" s="1"/>
  <c r="AU233" i="1" s="1"/>
  <c r="BJ239" i="1"/>
  <c r="BJ234" i="1" s="1"/>
  <c r="BB239" i="1"/>
  <c r="BB234" i="1" s="1"/>
  <c r="AT239" i="1"/>
  <c r="AT234" i="1" s="1"/>
  <c r="BA239" i="1"/>
  <c r="BA234" i="1" s="1"/>
  <c r="AS239" i="1"/>
  <c r="AS234" i="1" s="1"/>
  <c r="AZ239" i="1"/>
  <c r="AZ234" i="1" s="1"/>
  <c r="AZ233" i="1" s="1"/>
  <c r="BO239" i="1"/>
  <c r="BO234" i="1" s="1"/>
  <c r="BO233" i="1" s="1"/>
  <c r="AY239" i="1"/>
  <c r="AY234" i="1" s="1"/>
  <c r="AY233" i="1" s="1"/>
  <c r="BN239" i="1"/>
  <c r="BN234" i="1" s="1"/>
  <c r="BF239" i="1"/>
  <c r="BF234" i="1" s="1"/>
  <c r="AX239" i="1"/>
  <c r="AX234" i="1" s="1"/>
  <c r="AX233" i="1" s="1"/>
  <c r="AW243" i="1"/>
  <c r="AW261" i="1" s="1"/>
  <c r="BE243" i="1"/>
  <c r="BE261" i="1" s="1"/>
  <c r="BM243" i="1"/>
  <c r="BM261" i="1" s="1"/>
  <c r="AQ318" i="1"/>
  <c r="AQ316" i="1" s="1"/>
  <c r="BK318" i="1"/>
  <c r="BK316" i="1" s="1"/>
  <c r="AY299" i="1"/>
  <c r="AW235" i="1"/>
  <c r="AW259" i="1" s="1"/>
  <c r="BE235" i="1"/>
  <c r="BE259" i="1" s="1"/>
  <c r="BM235" i="1"/>
  <c r="BM259" i="1" s="1"/>
  <c r="AQ239" i="1"/>
  <c r="AQ234" i="1" s="1"/>
  <c r="AX243" i="1"/>
  <c r="AX261" i="1" s="1"/>
  <c r="BF243" i="1"/>
  <c r="BF261" i="1" s="1"/>
  <c r="BN243" i="1"/>
  <c r="BN261" i="1" s="1"/>
  <c r="AQ252" i="1"/>
  <c r="AQ250" i="1" s="1"/>
  <c r="BO326" i="1"/>
  <c r="AX235" i="1"/>
  <c r="AX259" i="1" s="1"/>
  <c r="BF235" i="1"/>
  <c r="BF259" i="1" s="1"/>
  <c r="BN235" i="1"/>
  <c r="BN259" i="1" s="1"/>
  <c r="AR239" i="1"/>
  <c r="AR234" i="1" s="1"/>
  <c r="AN241" i="1"/>
  <c r="BJ242" i="1"/>
  <c r="AY243" i="1"/>
  <c r="AY261" i="1" s="1"/>
  <c r="BG243" i="1"/>
  <c r="BG261" i="1" s="1"/>
  <c r="BO243" i="1"/>
  <c r="BO261" i="1" s="1"/>
  <c r="BD247" i="1"/>
  <c r="BD262" i="1" s="1"/>
  <c r="BL247" i="1"/>
  <c r="BL262" i="1" s="1"/>
  <c r="AR252" i="1"/>
  <c r="AR250" i="1" s="1"/>
  <c r="AS326" i="1"/>
  <c r="AY235" i="1"/>
  <c r="AY259" i="1" s="1"/>
  <c r="BG235" i="1"/>
  <c r="BG259" i="1" s="1"/>
  <c r="BO235" i="1"/>
  <c r="BO259" i="1" s="1"/>
  <c r="AU242" i="1"/>
  <c r="BC242" i="1"/>
  <c r="BK242" i="1"/>
  <c r="AZ243" i="1"/>
  <c r="AZ261" i="1" s="1"/>
  <c r="BH243" i="1"/>
  <c r="BH261" i="1" s="1"/>
  <c r="AN244" i="1"/>
  <c r="BE247" i="1"/>
  <c r="BE262" i="1" s="1"/>
  <c r="BM247" i="1"/>
  <c r="BM262" i="1" s="1"/>
  <c r="AQ272" i="1"/>
  <c r="AN325" i="1"/>
  <c r="BL301" i="1"/>
  <c r="BL325" i="1" s="1"/>
  <c r="BD301" i="1"/>
  <c r="BD325" i="1" s="1"/>
  <c r="AV301" i="1"/>
  <c r="AV325" i="1" s="1"/>
  <c r="BK301" i="1"/>
  <c r="AU301" i="1"/>
  <c r="BJ301" i="1"/>
  <c r="BJ325" i="1" s="1"/>
  <c r="AT301" i="1"/>
  <c r="AT325" i="1" s="1"/>
  <c r="BI301" i="1"/>
  <c r="BI325" i="1" s="1"/>
  <c r="AS301" i="1"/>
  <c r="AS325" i="1" s="1"/>
  <c r="BH301" i="1"/>
  <c r="BH325" i="1" s="1"/>
  <c r="AZ301" i="1"/>
  <c r="AZ325" i="1" s="1"/>
  <c r="BO301" i="1"/>
  <c r="BO325" i="1" s="1"/>
  <c r="BG301" i="1"/>
  <c r="BG325" i="1" s="1"/>
  <c r="AY301" i="1"/>
  <c r="AY325" i="1" s="1"/>
  <c r="BN301" i="1"/>
  <c r="BF301" i="1"/>
  <c r="AX301" i="1"/>
  <c r="AZ235" i="1"/>
  <c r="AZ259" i="1" s="1"/>
  <c r="BH235" i="1"/>
  <c r="BH259" i="1" s="1"/>
  <c r="AW236" i="1"/>
  <c r="AW258" i="1" s="1"/>
  <c r="BM236" i="1"/>
  <c r="BM258" i="1" s="1"/>
  <c r="AV242" i="1"/>
  <c r="BD242" i="1"/>
  <c r="BL242" i="1"/>
  <c r="BA243" i="1"/>
  <c r="BA261" i="1" s="1"/>
  <c r="BI243" i="1"/>
  <c r="BI261" i="1" s="1"/>
  <c r="AX247" i="1"/>
  <c r="AX262" i="1" s="1"/>
  <c r="BF247" i="1"/>
  <c r="BF262" i="1" s="1"/>
  <c r="BN247" i="1"/>
  <c r="BN262" i="1" s="1"/>
  <c r="AU248" i="1"/>
  <c r="AU263" i="1" s="1"/>
  <c r="BC248" i="1"/>
  <c r="BC263" i="1" s="1"/>
  <c r="BK248" i="1"/>
  <c r="BK263" i="1" s="1"/>
  <c r="AN258" i="1"/>
  <c r="AN254" i="1" s="1"/>
  <c r="AW301" i="1"/>
  <c r="AW325" i="1" s="1"/>
  <c r="AT299" i="1"/>
  <c r="BO299" i="1"/>
  <c r="AS235" i="1"/>
  <c r="AS259" i="1" s="1"/>
  <c r="BI235" i="1"/>
  <c r="BN236" i="1"/>
  <c r="BN258" i="1" s="1"/>
  <c r="AW242" i="1"/>
  <c r="BE242" i="1"/>
  <c r="BM242" i="1"/>
  <c r="AT243" i="1"/>
  <c r="AT261" i="1" s="1"/>
  <c r="BB243" i="1"/>
  <c r="BJ243" i="1"/>
  <c r="BJ261" i="1" s="1"/>
  <c r="AY247" i="1"/>
  <c r="AY262" i="1" s="1"/>
  <c r="BG247" i="1"/>
  <c r="BG262" i="1" s="1"/>
  <c r="BO247" i="1"/>
  <c r="BO262" i="1" s="1"/>
  <c r="BB326" i="1"/>
  <c r="AT235" i="1"/>
  <c r="AT259" i="1" s="1"/>
  <c r="BJ235" i="1"/>
  <c r="BJ259" i="1" s="1"/>
  <c r="BG236" i="1"/>
  <c r="BG258" i="1" s="1"/>
  <c r="AX242" i="1"/>
  <c r="BF242" i="1"/>
  <c r="BN242" i="1"/>
  <c r="AU243" i="1"/>
  <c r="AU261" i="1" s="1"/>
  <c r="BC243" i="1"/>
  <c r="BC261" i="1" s="1"/>
  <c r="BK243" i="1"/>
  <c r="BK261" i="1" s="1"/>
  <c r="AZ247" i="1"/>
  <c r="AZ262" i="1" s="1"/>
  <c r="BH247" i="1"/>
  <c r="BH262" i="1" s="1"/>
  <c r="AW248" i="1"/>
  <c r="AW263" i="1" s="1"/>
  <c r="BE248" i="1"/>
  <c r="BE263" i="1" s="1"/>
  <c r="BB301" i="1"/>
  <c r="BB325" i="1" s="1"/>
  <c r="AQ301" i="1"/>
  <c r="AQ325" i="1" s="1"/>
  <c r="BM301" i="1"/>
  <c r="BM325" i="1" s="1"/>
  <c r="AR318" i="1"/>
  <c r="AR316" i="1" s="1"/>
  <c r="BL318" i="1"/>
  <c r="BL316" i="1" s="1"/>
  <c r="AR305" i="1"/>
  <c r="AR300" i="1" s="1"/>
  <c r="AS257" i="1"/>
  <c r="BA257" i="1"/>
  <c r="BI257" i="1"/>
  <c r="AV302" i="1"/>
  <c r="AV324" i="1" s="1"/>
  <c r="BL302" i="1"/>
  <c r="BL324" i="1" s="1"/>
  <c r="AU308" i="1"/>
  <c r="BC326" i="1"/>
  <c r="AR301" i="1"/>
  <c r="AR325" i="1" s="1"/>
  <c r="AW302" i="1"/>
  <c r="AW324" i="1" s="1"/>
  <c r="BE302" i="1"/>
  <c r="BE324" i="1" s="1"/>
  <c r="BM302" i="1"/>
  <c r="BM324" i="1" s="1"/>
  <c r="AX302" i="1"/>
  <c r="AX324" i="1" s="1"/>
  <c r="BF302" i="1"/>
  <c r="BF324" i="1" s="1"/>
  <c r="BN302" i="1"/>
  <c r="BN324" i="1" s="1"/>
  <c r="BH308" i="1"/>
  <c r="AZ308" i="1"/>
  <c r="AN326" i="1"/>
  <c r="BN308" i="1"/>
  <c r="BF308" i="1"/>
  <c r="BM308" i="1"/>
  <c r="BE308" i="1"/>
  <c r="AW308" i="1"/>
  <c r="BI308" i="1"/>
  <c r="AR368" i="1"/>
  <c r="AR390" i="1" s="1"/>
  <c r="BF368" i="1"/>
  <c r="BF390" i="1" s="1"/>
  <c r="AW257" i="1"/>
  <c r="AQ323" i="1"/>
  <c r="BN323" i="1"/>
  <c r="AZ302" i="1"/>
  <c r="AZ324" i="1" s="1"/>
  <c r="BH302" i="1"/>
  <c r="BH324" i="1" s="1"/>
  <c r="AW305" i="1"/>
  <c r="AW300" i="1" s="1"/>
  <c r="AW299" i="1" s="1"/>
  <c r="BE305" i="1"/>
  <c r="BE300" i="1" s="1"/>
  <c r="AY308" i="1"/>
  <c r="BK308" i="1"/>
  <c r="AT316" i="1"/>
  <c r="BB316" i="1"/>
  <c r="AR343" i="1"/>
  <c r="AP343" i="1" s="1"/>
  <c r="A77" i="1" s="1"/>
  <c r="B108" i="1" s="1"/>
  <c r="M108" i="1" s="1"/>
  <c r="AR323" i="1"/>
  <c r="BO323" i="1"/>
  <c r="AS302" i="1"/>
  <c r="AS324" i="1" s="1"/>
  <c r="BA302" i="1"/>
  <c r="BA324" i="1" s="1"/>
  <c r="BI302" i="1"/>
  <c r="BI324" i="1" s="1"/>
  <c r="BA308" i="1"/>
  <c r="BL308" i="1"/>
  <c r="BO389" i="1"/>
  <c r="AR389" i="1"/>
  <c r="AT309" i="1"/>
  <c r="AT327" i="1" s="1"/>
  <c r="BB309" i="1"/>
  <c r="BB327" i="1" s="1"/>
  <c r="BJ309" i="1"/>
  <c r="BJ327" i="1" s="1"/>
  <c r="AY313" i="1"/>
  <c r="AY328" i="1" s="1"/>
  <c r="BG313" i="1"/>
  <c r="BG328" i="1" s="1"/>
  <c r="BO313" i="1"/>
  <c r="BO328" i="1" s="1"/>
  <c r="AV314" i="1"/>
  <c r="AV329" i="1" s="1"/>
  <c r="BD314" i="1"/>
  <c r="BD329" i="1" s="1"/>
  <c r="BL314" i="1"/>
  <c r="BL329" i="1" s="1"/>
  <c r="AU318" i="1"/>
  <c r="AU316" i="1" s="1"/>
  <c r="BC318" i="1"/>
  <c r="BC316" i="1" s="1"/>
  <c r="AW323" i="1"/>
  <c r="BE323" i="1"/>
  <c r="BB367" i="1"/>
  <c r="BB391" i="1" s="1"/>
  <c r="AQ367" i="1"/>
  <c r="AQ391" i="1" s="1"/>
  <c r="BK384" i="1"/>
  <c r="BK382" i="1" s="1"/>
  <c r="AQ384" i="1"/>
  <c r="AQ382" i="1" s="1"/>
  <c r="AN397" i="1"/>
  <c r="AN376" i="1"/>
  <c r="AS382" i="1"/>
  <c r="BA382" i="1"/>
  <c r="BI382" i="1"/>
  <c r="AU309" i="1"/>
  <c r="AU327" i="1" s="1"/>
  <c r="BC309" i="1"/>
  <c r="BC327" i="1" s="1"/>
  <c r="BK309" i="1"/>
  <c r="BK327" i="1" s="1"/>
  <c r="AZ313" i="1"/>
  <c r="AZ328" i="1" s="1"/>
  <c r="BH313" i="1"/>
  <c r="BH328" i="1" s="1"/>
  <c r="AW314" i="1"/>
  <c r="AW329" i="1" s="1"/>
  <c r="BE314" i="1"/>
  <c r="BE329" i="1" s="1"/>
  <c r="BM314" i="1"/>
  <c r="BM329" i="1" s="1"/>
  <c r="AV318" i="1"/>
  <c r="AV316" i="1" s="1"/>
  <c r="BD318" i="1"/>
  <c r="BD316" i="1" s="1"/>
  <c r="AX323" i="1"/>
  <c r="BF323" i="1"/>
  <c r="BC367" i="1"/>
  <c r="BC391" i="1" s="1"/>
  <c r="AR367" i="1"/>
  <c r="AR391" i="1" s="1"/>
  <c r="BL384" i="1"/>
  <c r="BL382" i="1" s="1"/>
  <c r="AR384" i="1"/>
  <c r="AR382" i="1" s="1"/>
  <c r="AV391" i="1"/>
  <c r="AV365" i="1"/>
  <c r="BH392" i="1"/>
  <c r="AW318" i="1"/>
  <c r="AW316" i="1" s="1"/>
  <c r="BE318" i="1"/>
  <c r="BE316" i="1" s="1"/>
  <c r="BM318" i="1"/>
  <c r="BM316" i="1" s="1"/>
  <c r="AN329" i="1"/>
  <c r="BD391" i="1"/>
  <c r="AW309" i="1"/>
  <c r="AW327" i="1" s="1"/>
  <c r="BE309" i="1"/>
  <c r="BE327" i="1" s="1"/>
  <c r="BM309" i="1"/>
  <c r="BM327" i="1" s="1"/>
  <c r="AT313" i="1"/>
  <c r="AT328" i="1" s="1"/>
  <c r="BB313" i="1"/>
  <c r="BB328" i="1" s="1"/>
  <c r="BJ313" i="1"/>
  <c r="BJ328" i="1" s="1"/>
  <c r="BG314" i="1"/>
  <c r="BG329" i="1" s="1"/>
  <c r="BO314" i="1"/>
  <c r="BO329" i="1" s="1"/>
  <c r="AX318" i="1"/>
  <c r="AX316" i="1" s="1"/>
  <c r="BF318" i="1"/>
  <c r="BF316" i="1" s="1"/>
  <c r="BN318" i="1"/>
  <c r="BN316" i="1" s="1"/>
  <c r="AZ323" i="1"/>
  <c r="BH323" i="1"/>
  <c r="AY365" i="1"/>
  <c r="AZ392" i="1"/>
  <c r="AY318" i="1"/>
  <c r="AY316" i="1" s="1"/>
  <c r="BG318" i="1"/>
  <c r="BG316" i="1" s="1"/>
  <c r="BO318" i="1"/>
  <c r="BO316" i="1" s="1"/>
  <c r="BH371" i="1"/>
  <c r="BH366" i="1" s="1"/>
  <c r="BH365" i="1" s="1"/>
  <c r="AQ371" i="1"/>
  <c r="AQ366" i="1" s="1"/>
  <c r="BI371" i="1"/>
  <c r="BI366" i="1" s="1"/>
  <c r="AR371" i="1"/>
  <c r="AR366" i="1" s="1"/>
  <c r="AR365" i="1" s="1"/>
  <c r="BO392" i="1"/>
  <c r="BE313" i="1"/>
  <c r="BE328" i="1" s="1"/>
  <c r="BB314" i="1"/>
  <c r="BB329" i="1" s="1"/>
  <c r="AS318" i="1"/>
  <c r="AS316" i="1" s="1"/>
  <c r="BA318" i="1"/>
  <c r="BA316" i="1" s="1"/>
  <c r="AU323" i="1"/>
  <c r="BC323" i="1"/>
  <c r="AQ368" i="1"/>
  <c r="AQ390" i="1" s="1"/>
  <c r="BE368" i="1"/>
  <c r="BE390" i="1" s="1"/>
  <c r="AQ389" i="1"/>
  <c r="BN389" i="1"/>
  <c r="BF365" i="1"/>
  <c r="BL375" i="1"/>
  <c r="BD375" i="1"/>
  <c r="AV375" i="1"/>
  <c r="BK375" i="1"/>
  <c r="BC375" i="1"/>
  <c r="AU375" i="1"/>
  <c r="BJ375" i="1"/>
  <c r="BJ393" i="1" s="1"/>
  <c r="BB375" i="1"/>
  <c r="AT375" i="1"/>
  <c r="AT393" i="1" s="1"/>
  <c r="BI375" i="1"/>
  <c r="BI393" i="1" s="1"/>
  <c r="BA375" i="1"/>
  <c r="BA393" i="1" s="1"/>
  <c r="BH375" i="1"/>
  <c r="BH393" i="1" s="1"/>
  <c r="AZ375" i="1"/>
  <c r="AZ393" i="1" s="1"/>
  <c r="BO375" i="1"/>
  <c r="BO393" i="1" s="1"/>
  <c r="BG375" i="1"/>
  <c r="BG393" i="1" s="1"/>
  <c r="AY375" i="1"/>
  <c r="AN373" i="1"/>
  <c r="AN393" i="1"/>
  <c r="BN375" i="1"/>
  <c r="BF375" i="1"/>
  <c r="AX375" i="1"/>
  <c r="AW367" i="1"/>
  <c r="AW391" i="1" s="1"/>
  <c r="BE367" i="1"/>
  <c r="BE391" i="1" s="1"/>
  <c r="BM367" i="1"/>
  <c r="BM391" i="1" s="1"/>
  <c r="AY384" i="1"/>
  <c r="AY382" i="1" s="1"/>
  <c r="BG384" i="1"/>
  <c r="BG382" i="1" s="1"/>
  <c r="BO384" i="1"/>
  <c r="BO382" i="1" s="1"/>
  <c r="AS389" i="1"/>
  <c r="BA389" i="1"/>
  <c r="BI389" i="1"/>
  <c r="AX367" i="1"/>
  <c r="AX391" i="1" s="1"/>
  <c r="BF367" i="1"/>
  <c r="BF391" i="1" s="1"/>
  <c r="BN367" i="1"/>
  <c r="BN391" i="1" s="1"/>
  <c r="AU368" i="1"/>
  <c r="AU390" i="1" s="1"/>
  <c r="BC368" i="1"/>
  <c r="BC390" i="1" s="1"/>
  <c r="BK368" i="1"/>
  <c r="BK390" i="1" s="1"/>
  <c r="AZ371" i="1"/>
  <c r="AZ366" i="1" s="1"/>
  <c r="BJ374" i="1"/>
  <c r="BD379" i="1"/>
  <c r="BD394" i="1" s="1"/>
  <c r="BL379" i="1"/>
  <c r="BL394" i="1" s="1"/>
  <c r="AS380" i="1"/>
  <c r="AS395" i="1" s="1"/>
  <c r="BA380" i="1"/>
  <c r="BA395" i="1" s="1"/>
  <c r="BI380" i="1"/>
  <c r="BI395" i="1" s="1"/>
  <c r="AZ384" i="1"/>
  <c r="AZ382" i="1" s="1"/>
  <c r="BH384" i="1"/>
  <c r="BH382" i="1" s="1"/>
  <c r="AT389" i="1"/>
  <c r="BB389" i="1"/>
  <c r="BJ389" i="1"/>
  <c r="AS392" i="1"/>
  <c r="BA392" i="1"/>
  <c r="BI392" i="1"/>
  <c r="AN365" i="1"/>
  <c r="AY367" i="1"/>
  <c r="AY391" i="1" s="1"/>
  <c r="BG367" i="1"/>
  <c r="BG391" i="1" s="1"/>
  <c r="BO367" i="1"/>
  <c r="BO391" i="1" s="1"/>
  <c r="BL368" i="1"/>
  <c r="BL390" i="1" s="1"/>
  <c r="BE379" i="1"/>
  <c r="BE394" i="1" s="1"/>
  <c r="BM379" i="1"/>
  <c r="BM394" i="1" s="1"/>
  <c r="AT380" i="1"/>
  <c r="AT395" i="1" s="1"/>
  <c r="BB380" i="1"/>
  <c r="BB395" i="1" s="1"/>
  <c r="BJ380" i="1"/>
  <c r="BJ395" i="1" s="1"/>
  <c r="AS384" i="1"/>
  <c r="BA384" i="1"/>
  <c r="BI384" i="1"/>
  <c r="AU389" i="1"/>
  <c r="BC389" i="1"/>
  <c r="BK389" i="1"/>
  <c r="AN391" i="1"/>
  <c r="AZ367" i="1"/>
  <c r="AZ391" i="1" s="1"/>
  <c r="BH367" i="1"/>
  <c r="BH391" i="1" s="1"/>
  <c r="AW368" i="1"/>
  <c r="AW390" i="1" s="1"/>
  <c r="BM368" i="1"/>
  <c r="BM390" i="1" s="1"/>
  <c r="AT371" i="1"/>
  <c r="AT366" i="1" s="1"/>
  <c r="BB371" i="1"/>
  <c r="BB366" i="1" s="1"/>
  <c r="BJ371" i="1"/>
  <c r="BJ366" i="1" s="1"/>
  <c r="BJ365" i="1" s="1"/>
  <c r="AX379" i="1"/>
  <c r="AX394" i="1" s="1"/>
  <c r="BF379" i="1"/>
  <c r="BF394" i="1" s="1"/>
  <c r="BN379" i="1"/>
  <c r="BN394" i="1" s="1"/>
  <c r="AU380" i="1"/>
  <c r="AU395" i="1" s="1"/>
  <c r="BC380" i="1"/>
  <c r="BC395" i="1" s="1"/>
  <c r="BK380" i="1"/>
  <c r="BK395" i="1" s="1"/>
  <c r="AT384" i="1"/>
  <c r="AT382" i="1" s="1"/>
  <c r="BB384" i="1"/>
  <c r="BB382" i="1" s="1"/>
  <c r="AV389" i="1"/>
  <c r="BD389" i="1"/>
  <c r="BL389" i="1"/>
  <c r="AN394" i="1"/>
  <c r="AS367" i="1"/>
  <c r="BI367" i="1"/>
  <c r="BI391" i="1" s="1"/>
  <c r="AX368" i="1"/>
  <c r="AX390" i="1" s="1"/>
  <c r="BN368" i="1"/>
  <c r="BN390" i="1" s="1"/>
  <c r="AU371" i="1"/>
  <c r="AU366" i="1" s="1"/>
  <c r="BC371" i="1"/>
  <c r="BC366" i="1" s="1"/>
  <c r="BK371" i="1"/>
  <c r="BK366" i="1" s="1"/>
  <c r="AW374" i="1"/>
  <c r="BE374" i="1"/>
  <c r="BM374" i="1"/>
  <c r="AY379" i="1"/>
  <c r="AY394" i="1" s="1"/>
  <c r="BG379" i="1"/>
  <c r="BG394" i="1" s="1"/>
  <c r="BO379" i="1"/>
  <c r="BO394" i="1" s="1"/>
  <c r="AV380" i="1"/>
  <c r="AV395" i="1" s="1"/>
  <c r="BD380" i="1"/>
  <c r="BD395" i="1" s="1"/>
  <c r="BL380" i="1"/>
  <c r="BL395" i="1" s="1"/>
  <c r="AU384" i="1"/>
  <c r="AU382" i="1" s="1"/>
  <c r="BC384" i="1"/>
  <c r="BC382" i="1" s="1"/>
  <c r="AW389" i="1"/>
  <c r="BE389" i="1"/>
  <c r="AT367" i="1"/>
  <c r="AT391" i="1" s="1"/>
  <c r="BJ367" i="1"/>
  <c r="BJ391" i="1" s="1"/>
  <c r="BO368" i="1"/>
  <c r="BO390" i="1" s="1"/>
  <c r="BL371" i="1"/>
  <c r="BL366" i="1" s="1"/>
  <c r="BL365" i="1" s="1"/>
  <c r="AZ379" i="1"/>
  <c r="AZ394" i="1" s="1"/>
  <c r="BH379" i="1"/>
  <c r="BH394" i="1" s="1"/>
  <c r="AW380" i="1"/>
  <c r="AW395" i="1" s="1"/>
  <c r="BE380" i="1"/>
  <c r="BE395" i="1" s="1"/>
  <c r="BM380" i="1"/>
  <c r="BM395" i="1" s="1"/>
  <c r="AV384" i="1"/>
  <c r="AV382" i="1" s="1"/>
  <c r="BD384" i="1"/>
  <c r="BD382" i="1" s="1"/>
  <c r="AX389" i="1"/>
  <c r="BF389" i="1"/>
  <c r="AN392" i="1"/>
  <c r="AU367" i="1"/>
  <c r="AU391" i="1" s="1"/>
  <c r="AZ368" i="1"/>
  <c r="AZ390" i="1" s="1"/>
  <c r="AW371" i="1"/>
  <c r="AW366" i="1" s="1"/>
  <c r="BE371" i="1"/>
  <c r="BE366" i="1" s="1"/>
  <c r="BG374" i="1"/>
  <c r="AS379" i="1"/>
  <c r="AS394" i="1" s="1"/>
  <c r="BA379" i="1"/>
  <c r="BA394" i="1" s="1"/>
  <c r="BF380" i="1"/>
  <c r="BF395" i="1" s="1"/>
  <c r="BN380" i="1"/>
  <c r="BN395" i="1" s="1"/>
  <c r="AW384" i="1"/>
  <c r="AW382" i="1" s="1"/>
  <c r="BE384" i="1"/>
  <c r="BE382" i="1" s="1"/>
  <c r="AY389" i="1"/>
  <c r="T20" i="1" l="1"/>
  <c r="T19" i="1"/>
  <c r="T22" i="1"/>
  <c r="T21" i="1"/>
  <c r="J90" i="1"/>
  <c r="J42" i="1"/>
  <c r="J18" i="1"/>
  <c r="AR233" i="1"/>
  <c r="N59" i="1"/>
  <c r="Q59" i="1" s="1"/>
  <c r="E36" i="1"/>
  <c r="E34" i="1"/>
  <c r="E57" i="1"/>
  <c r="E11" i="1"/>
  <c r="N57" i="1"/>
  <c r="Q57" i="1" s="1"/>
  <c r="P17" i="1" a="1"/>
  <c r="P17" i="1" s="1"/>
  <c r="O17" i="1" s="1"/>
  <c r="Q60" i="1"/>
  <c r="Q11" i="1"/>
  <c r="BB365" i="1"/>
  <c r="AQ365" i="1"/>
  <c r="AR299" i="1"/>
  <c r="AP228" i="1"/>
  <c r="AP225" i="1"/>
  <c r="AP216" i="1"/>
  <c r="AP209" i="1"/>
  <c r="AP210" i="1"/>
  <c r="AN210" i="1" s="1"/>
  <c r="P130" i="1"/>
  <c r="E9" i="1"/>
  <c r="N80" i="1"/>
  <c r="Q80" i="1" s="1"/>
  <c r="O13" i="1"/>
  <c r="N55" i="1"/>
  <c r="E55" i="1"/>
  <c r="O3" i="1"/>
  <c r="L131" i="1"/>
  <c r="P112" i="1"/>
  <c r="L75" i="1" a="1"/>
  <c r="L75" i="1" s="1"/>
  <c r="L51" i="1" a="1"/>
  <c r="L51" i="1" s="1"/>
  <c r="L3" i="1" a="1"/>
  <c r="L3" i="1" s="1"/>
  <c r="M112" i="1" s="1"/>
  <c r="M131" i="1" s="1"/>
  <c r="O30" i="1"/>
  <c r="O28" i="1"/>
  <c r="O39" i="1"/>
  <c r="O40" i="1"/>
  <c r="AN342" i="1"/>
  <c r="AP247" i="1"/>
  <c r="AP262" i="1" s="1"/>
  <c r="AU247" i="1"/>
  <c r="AU262" i="1" s="1"/>
  <c r="BE396" i="1"/>
  <c r="AN386" i="1"/>
  <c r="AN364" i="1" s="1"/>
  <c r="BM392" i="1"/>
  <c r="AT365" i="1"/>
  <c r="BL393" i="1"/>
  <c r="AP389" i="1"/>
  <c r="BM389" i="1"/>
  <c r="AN320" i="1"/>
  <c r="AN298" i="1" s="1"/>
  <c r="AW260" i="1"/>
  <c r="BN299" i="1"/>
  <c r="BN325" i="1"/>
  <c r="BC260" i="1"/>
  <c r="BL299" i="1"/>
  <c r="BJ260" i="1"/>
  <c r="AQ233" i="1"/>
  <c r="AS233" i="1"/>
  <c r="AN232" i="1"/>
  <c r="BM233" i="1"/>
  <c r="AP220" i="1"/>
  <c r="AP145" i="1"/>
  <c r="G41" i="1"/>
  <c r="G65" i="1"/>
  <c r="AS194" i="1"/>
  <c r="BK194" i="1"/>
  <c r="BF194" i="1"/>
  <c r="BE167" i="1"/>
  <c r="G64" i="1"/>
  <c r="G16" i="1"/>
  <c r="I58" i="1"/>
  <c r="I82" i="1"/>
  <c r="I78" i="1"/>
  <c r="I30" i="1"/>
  <c r="I6" i="1"/>
  <c r="AD14" i="1"/>
  <c r="AC14" i="1"/>
  <c r="K131" i="1"/>
  <c r="Z131" i="1"/>
  <c r="AD18" i="1"/>
  <c r="AD16" i="1"/>
  <c r="BA396" i="1"/>
  <c r="BK396" i="1"/>
  <c r="BM396" i="1"/>
  <c r="AP159" i="1"/>
  <c r="AP142" i="1" s="1"/>
  <c r="AP151" i="1"/>
  <c r="E76" i="1"/>
  <c r="I29" i="1"/>
  <c r="L61" i="1" a="1"/>
  <c r="L61" i="1" s="1"/>
  <c r="P115" i="1"/>
  <c r="L6" i="1" a="1"/>
  <c r="L6" i="1" s="1"/>
  <c r="C87" i="1"/>
  <c r="E87" i="1" s="1"/>
  <c r="AY380" i="1"/>
  <c r="AY395" i="1" s="1"/>
  <c r="AQ380" i="1"/>
  <c r="AQ395" i="1" s="1"/>
  <c r="H61" i="1"/>
  <c r="L16" i="1" a="1"/>
  <c r="L16" i="1" s="1"/>
  <c r="C15" i="1"/>
  <c r="O14" i="1"/>
  <c r="O7" i="1"/>
  <c r="D17" i="1" a="1"/>
  <c r="D17" i="1" s="1"/>
  <c r="E17" i="1" s="1"/>
  <c r="D7" i="1" a="1"/>
  <c r="D7" i="1" s="1"/>
  <c r="N7" i="1" s="1"/>
  <c r="I77" i="1"/>
  <c r="I54" i="1"/>
  <c r="AQ247" i="1"/>
  <c r="AQ262" i="1" s="1"/>
  <c r="AV247" i="1"/>
  <c r="AV262" i="1" s="1"/>
  <c r="BJ198" i="1"/>
  <c r="AR198" i="1"/>
  <c r="AV198" i="1"/>
  <c r="BG198" i="1"/>
  <c r="I10" i="1"/>
  <c r="AU326" i="1"/>
  <c r="BE260" i="1"/>
  <c r="AZ194" i="1"/>
  <c r="AX194" i="1"/>
  <c r="AS396" i="1"/>
  <c r="G78" i="1"/>
  <c r="G6" i="1"/>
  <c r="BE392" i="1"/>
  <c r="AS391" i="1"/>
  <c r="AS365" i="1"/>
  <c r="AY393" i="1"/>
  <c r="BB393" i="1"/>
  <c r="BK326" i="1"/>
  <c r="BN365" i="1"/>
  <c r="AP379" i="1"/>
  <c r="AU379" i="1"/>
  <c r="AU394" i="1" s="1"/>
  <c r="AZ326" i="1"/>
  <c r="AZ299" i="1"/>
  <c r="AU260" i="1"/>
  <c r="AQ299" i="1"/>
  <c r="BM299" i="1"/>
  <c r="BH299" i="1"/>
  <c r="AP222" i="1"/>
  <c r="AP224" i="1"/>
  <c r="AP208" i="1" s="1"/>
  <c r="AW233" i="1"/>
  <c r="BH167" i="1"/>
  <c r="O41" i="1"/>
  <c r="P127" i="1"/>
  <c r="L41" i="1" a="1"/>
  <c r="L41" i="1" s="1"/>
  <c r="L17" i="1" a="1"/>
  <c r="L17" i="1" s="1"/>
  <c r="BE194" i="1"/>
  <c r="BN194" i="1"/>
  <c r="AX167" i="1"/>
  <c r="BM167" i="1"/>
  <c r="P122" i="1"/>
  <c r="L85" i="1" a="1"/>
  <c r="L85" i="1" s="1"/>
  <c r="D38" i="1" a="1"/>
  <c r="D38" i="1" s="1"/>
  <c r="P126" i="1"/>
  <c r="O86" i="1"/>
  <c r="O65" i="1"/>
  <c r="I57" i="1"/>
  <c r="I80" i="1"/>
  <c r="O58" i="1"/>
  <c r="N58" i="1"/>
  <c r="BI396" i="1"/>
  <c r="BI386" i="1" s="1"/>
  <c r="AX396" i="1"/>
  <c r="I27" i="1"/>
  <c r="AP162" i="1"/>
  <c r="AP155" i="1"/>
  <c r="C86" i="1"/>
  <c r="E86" i="1" s="1"/>
  <c r="I15" i="1"/>
  <c r="C61" i="1"/>
  <c r="C54" i="1"/>
  <c r="N54" i="1" s="1"/>
  <c r="C6" i="1"/>
  <c r="N6" i="1" s="1"/>
  <c r="AZ380" i="1"/>
  <c r="AZ395" i="1" s="1"/>
  <c r="AR380" i="1"/>
  <c r="AR395" i="1" s="1"/>
  <c r="P84" i="1" a="1"/>
  <c r="P84" i="1" s="1"/>
  <c r="H131" i="1"/>
  <c r="G75" i="1"/>
  <c r="G27" i="1"/>
  <c r="G88" i="1"/>
  <c r="H14" i="1"/>
  <c r="I3" i="1"/>
  <c r="O6" i="1"/>
  <c r="P51" i="1" a="1"/>
  <c r="P51" i="1" s="1"/>
  <c r="I51" i="1"/>
  <c r="AP264" i="1"/>
  <c r="BN245" i="1"/>
  <c r="BF245" i="1"/>
  <c r="AX245" i="1"/>
  <c r="BM245" i="1"/>
  <c r="BE245" i="1"/>
  <c r="AW245" i="1"/>
  <c r="BL245" i="1"/>
  <c r="BD245" i="1"/>
  <c r="AV245" i="1"/>
  <c r="BK245" i="1"/>
  <c r="BC245" i="1"/>
  <c r="AU245" i="1"/>
  <c r="BJ245" i="1"/>
  <c r="BB245" i="1"/>
  <c r="AT245" i="1"/>
  <c r="AP246" i="1"/>
  <c r="BI245" i="1"/>
  <c r="BA245" i="1"/>
  <c r="AS245" i="1"/>
  <c r="BH245" i="1"/>
  <c r="AZ245" i="1"/>
  <c r="AR245" i="1"/>
  <c r="BO245" i="1"/>
  <c r="BG245" i="1"/>
  <c r="AY245" i="1"/>
  <c r="AQ245" i="1"/>
  <c r="N79" i="1"/>
  <c r="AR247" i="1"/>
  <c r="AR262" i="1" s="1"/>
  <c r="AW247" i="1"/>
  <c r="AW262" i="1" s="1"/>
  <c r="O16" i="1"/>
  <c r="H6" i="1"/>
  <c r="BK198" i="1"/>
  <c r="BH198" i="1"/>
  <c r="BD198" i="1"/>
  <c r="BO198" i="1"/>
  <c r="I17" i="1"/>
  <c r="BD393" i="1"/>
  <c r="BN326" i="1"/>
  <c r="AP313" i="1"/>
  <c r="AP328" i="1" s="1"/>
  <c r="AU313" i="1"/>
  <c r="AU328" i="1" s="1"/>
  <c r="I59" i="1"/>
  <c r="I11" i="1"/>
  <c r="I83" i="1"/>
  <c r="D27" i="1" a="1"/>
  <c r="D27" i="1" s="1"/>
  <c r="P27" i="1" a="1"/>
  <c r="P27" i="1" s="1"/>
  <c r="AP170" i="1"/>
  <c r="AP192" i="1" s="1"/>
  <c r="BD170" i="1"/>
  <c r="BD192" i="1" s="1"/>
  <c r="AQ181" i="1"/>
  <c r="AQ196" i="1" s="1"/>
  <c r="AV181" i="1"/>
  <c r="AV196" i="1" s="1"/>
  <c r="O36" i="1"/>
  <c r="N36" i="1"/>
  <c r="AU198" i="1"/>
  <c r="AW392" i="1"/>
  <c r="AX365" i="1"/>
  <c r="AY326" i="1"/>
  <c r="BO365" i="1"/>
  <c r="BG371" i="1"/>
  <c r="BG366" i="1" s="1"/>
  <c r="BG365" i="1" s="1"/>
  <c r="AP371" i="1"/>
  <c r="AP366" i="1" s="1"/>
  <c r="BI326" i="1"/>
  <c r="BH326" i="1"/>
  <c r="BN260" i="1"/>
  <c r="BI299" i="1"/>
  <c r="AU325" i="1"/>
  <c r="AU299" i="1"/>
  <c r="AS299" i="1"/>
  <c r="AT233" i="1"/>
  <c r="BH194" i="1"/>
  <c r="BA194" i="1"/>
  <c r="AY167" i="1"/>
  <c r="H85" i="1"/>
  <c r="H37" i="1"/>
  <c r="P123" i="1"/>
  <c r="H64" i="1"/>
  <c r="H88" i="1"/>
  <c r="C62" i="1"/>
  <c r="C38" i="1"/>
  <c r="F41" i="1"/>
  <c r="F65" i="1"/>
  <c r="H60" i="1"/>
  <c r="H36" i="1"/>
  <c r="AY314" i="1"/>
  <c r="AY329" i="1" s="1"/>
  <c r="AQ314" i="1"/>
  <c r="AQ329" i="1" s="1"/>
  <c r="I89" i="1"/>
  <c r="BL378" i="1"/>
  <c r="BL397" i="1" s="1"/>
  <c r="BD378" i="1"/>
  <c r="BD397" i="1" s="1"/>
  <c r="AV378" i="1"/>
  <c r="AV397" i="1" s="1"/>
  <c r="AP397" i="1"/>
  <c r="BK378" i="1"/>
  <c r="BK397" i="1" s="1"/>
  <c r="BC378" i="1"/>
  <c r="BC397" i="1" s="1"/>
  <c r="AU378" i="1"/>
  <c r="AU397" i="1" s="1"/>
  <c r="BJ378" i="1"/>
  <c r="BJ397" i="1" s="1"/>
  <c r="BB378" i="1"/>
  <c r="BB397" i="1" s="1"/>
  <c r="AT378" i="1"/>
  <c r="AT397" i="1" s="1"/>
  <c r="BI378" i="1"/>
  <c r="BI397" i="1" s="1"/>
  <c r="BA378" i="1"/>
  <c r="BA397" i="1" s="1"/>
  <c r="AS378" i="1"/>
  <c r="AS397" i="1" s="1"/>
  <c r="BH378" i="1"/>
  <c r="BH397" i="1" s="1"/>
  <c r="AZ378" i="1"/>
  <c r="AZ397" i="1" s="1"/>
  <c r="AR378" i="1"/>
  <c r="AR397" i="1" s="1"/>
  <c r="BO378" i="1"/>
  <c r="BO397" i="1" s="1"/>
  <c r="BG378" i="1"/>
  <c r="BG397" i="1" s="1"/>
  <c r="AY378" i="1"/>
  <c r="AY397" i="1" s="1"/>
  <c r="AQ378" i="1"/>
  <c r="AQ397" i="1" s="1"/>
  <c r="BN378" i="1"/>
  <c r="BN397" i="1" s="1"/>
  <c r="BF378" i="1"/>
  <c r="BF397" i="1" s="1"/>
  <c r="AX378" i="1"/>
  <c r="AX397" i="1" s="1"/>
  <c r="BM378" i="1"/>
  <c r="BM397" i="1" s="1"/>
  <c r="BE378" i="1"/>
  <c r="BE397" i="1" s="1"/>
  <c r="AW378" i="1"/>
  <c r="AW397" i="1" s="1"/>
  <c r="BF396" i="1"/>
  <c r="AP160" i="1"/>
  <c r="D61" i="1" a="1"/>
  <c r="D61" i="1" s="1"/>
  <c r="N76" i="1"/>
  <c r="O76" i="1"/>
  <c r="I56" i="1"/>
  <c r="E83" i="1"/>
  <c r="AQ379" i="1"/>
  <c r="AQ394" i="1" s="1"/>
  <c r="AV379" i="1"/>
  <c r="AV394" i="1" s="1"/>
  <c r="H84" i="1"/>
  <c r="I63" i="1"/>
  <c r="L54" i="1" a="1"/>
  <c r="L54" i="1" s="1"/>
  <c r="C13" i="1"/>
  <c r="E13" i="1" s="1"/>
  <c r="P61" i="1" a="1"/>
  <c r="P61" i="1" s="1"/>
  <c r="G30" i="1"/>
  <c r="F6" i="1"/>
  <c r="N82" i="1"/>
  <c r="Q82" i="1" s="1"/>
  <c r="C85" i="1"/>
  <c r="N85" i="1" s="1"/>
  <c r="O12" i="1"/>
  <c r="N12" i="1"/>
  <c r="I41" i="1"/>
  <c r="AW198" i="1"/>
  <c r="AS198" i="1"/>
  <c r="BL198" i="1"/>
  <c r="I13" i="1"/>
  <c r="BC396" i="1"/>
  <c r="BO396" i="1"/>
  <c r="N83" i="1"/>
  <c r="O83" i="1"/>
  <c r="AZ248" i="1"/>
  <c r="AZ263" i="1" s="1"/>
  <c r="AR248" i="1"/>
  <c r="AR263" i="1" s="1"/>
  <c r="BE198" i="1"/>
  <c r="BG392" i="1"/>
  <c r="BK365" i="1"/>
  <c r="BJ392" i="1"/>
  <c r="AU393" i="1"/>
  <c r="BM365" i="1"/>
  <c r="BI365" i="1"/>
  <c r="AW326" i="1"/>
  <c r="AV299" i="1"/>
  <c r="BF260" i="1"/>
  <c r="BK325" i="1"/>
  <c r="BK299" i="1"/>
  <c r="BF233" i="1"/>
  <c r="BB233" i="1"/>
  <c r="AP217" i="1"/>
  <c r="P129" i="1"/>
  <c r="D41" i="1" a="1"/>
  <c r="D41" i="1" s="1"/>
  <c r="F85" i="1"/>
  <c r="F90" i="1" s="1"/>
  <c r="T34" i="1" s="1"/>
  <c r="F37" i="1"/>
  <c r="F13" i="1"/>
  <c r="AU194" i="1"/>
  <c r="BM194" i="1"/>
  <c r="AY194" i="1"/>
  <c r="AZ167" i="1"/>
  <c r="D29" i="1" a="1"/>
  <c r="D29" i="1" s="1"/>
  <c r="P29" i="1" a="1"/>
  <c r="P29" i="1" s="1"/>
  <c r="P63" i="1" a="1"/>
  <c r="P63" i="1" s="1"/>
  <c r="P15" i="1" a="1"/>
  <c r="P15" i="1" s="1"/>
  <c r="AR314" i="1"/>
  <c r="AR329" i="1" s="1"/>
  <c r="AZ314" i="1"/>
  <c r="AZ329" i="1" s="1"/>
  <c r="C52" i="1"/>
  <c r="C4" i="1"/>
  <c r="N4" i="1" s="1"/>
  <c r="C28" i="1"/>
  <c r="E28" i="1" s="1"/>
  <c r="AT396" i="1"/>
  <c r="AV396" i="1"/>
  <c r="BN396" i="1"/>
  <c r="AP152" i="1"/>
  <c r="AP144" i="1"/>
  <c r="N56" i="1"/>
  <c r="Q56" i="1" s="1"/>
  <c r="E56" i="1"/>
  <c r="D131" i="1"/>
  <c r="AR379" i="1"/>
  <c r="AR394" i="1" s="1"/>
  <c r="AW379" i="1"/>
  <c r="AW394" i="1" s="1"/>
  <c r="I61" i="1"/>
  <c r="AC11" i="1"/>
  <c r="AD11" i="1"/>
  <c r="H39" i="1"/>
  <c r="E81" i="1"/>
  <c r="N10" i="1"/>
  <c r="O10" i="1"/>
  <c r="AP330" i="1"/>
  <c r="BK311" i="1"/>
  <c r="BC311" i="1"/>
  <c r="AU311" i="1"/>
  <c r="BH311" i="1"/>
  <c r="AZ311" i="1"/>
  <c r="AR311" i="1"/>
  <c r="BN311" i="1"/>
  <c r="BF311" i="1"/>
  <c r="AX311" i="1"/>
  <c r="BM311" i="1"/>
  <c r="BE311" i="1"/>
  <c r="AW311" i="1"/>
  <c r="AP312" i="1"/>
  <c r="BB311" i="1"/>
  <c r="BA311" i="1"/>
  <c r="BO311" i="1"/>
  <c r="AY311" i="1"/>
  <c r="BL311" i="1"/>
  <c r="AV311" i="1"/>
  <c r="BJ311" i="1"/>
  <c r="AT311" i="1"/>
  <c r="BI311" i="1"/>
  <c r="AS311" i="1"/>
  <c r="BG311" i="1"/>
  <c r="AQ311" i="1"/>
  <c r="BD311" i="1"/>
  <c r="E31" i="1"/>
  <c r="P87" i="1" a="1"/>
  <c r="P87" i="1" s="1"/>
  <c r="O31" i="1"/>
  <c r="N31" i="1"/>
  <c r="C77" i="1"/>
  <c r="N77" i="1" s="1"/>
  <c r="E35" i="1"/>
  <c r="BM198" i="1"/>
  <c r="BA198" i="1"/>
  <c r="AX198" i="1"/>
  <c r="AY198" i="1"/>
  <c r="BE365" i="1"/>
  <c r="BC365" i="1"/>
  <c r="AZ365" i="1"/>
  <c r="AX393" i="1"/>
  <c r="BC393" i="1"/>
  <c r="BC386" i="1" s="1"/>
  <c r="BL326" i="1"/>
  <c r="BE299" i="1"/>
  <c r="BE326" i="1"/>
  <c r="AX260" i="1"/>
  <c r="BB261" i="1"/>
  <c r="BI233" i="1"/>
  <c r="BI259" i="1"/>
  <c r="BL260" i="1"/>
  <c r="BJ299" i="1"/>
  <c r="BN233" i="1"/>
  <c r="BJ233" i="1"/>
  <c r="AP227" i="1"/>
  <c r="AP218" i="1"/>
  <c r="AP221" i="1"/>
  <c r="AP219" i="1"/>
  <c r="D77" i="1" a="1"/>
  <c r="D77" i="1" s="1"/>
  <c r="D89" i="1" a="1"/>
  <c r="D89" i="1" s="1"/>
  <c r="G15" i="1"/>
  <c r="G63" i="1"/>
  <c r="BI194" i="1"/>
  <c r="AV194" i="1"/>
  <c r="BG194" i="1"/>
  <c r="D85" i="1" a="1"/>
  <c r="D85" i="1" s="1"/>
  <c r="P5" i="1" a="1"/>
  <c r="P5" i="1" s="1"/>
  <c r="P53" i="1" a="1"/>
  <c r="P53" i="1" s="1"/>
  <c r="P128" i="1"/>
  <c r="O88" i="1"/>
  <c r="BI167" i="1"/>
  <c r="F63" i="1"/>
  <c r="F15" i="1"/>
  <c r="AQ313" i="1"/>
  <c r="AQ328" i="1" s="1"/>
  <c r="AV313" i="1"/>
  <c r="AV328" i="1" s="1"/>
  <c r="H76" i="1"/>
  <c r="H28" i="1"/>
  <c r="H4" i="1"/>
  <c r="I79" i="1"/>
  <c r="BH396" i="1"/>
  <c r="BB396" i="1"/>
  <c r="BD396" i="1"/>
  <c r="AQ396" i="1"/>
  <c r="AP156" i="1"/>
  <c r="AP150" i="1"/>
  <c r="O54" i="1"/>
  <c r="H75" i="1"/>
  <c r="F54" i="1"/>
  <c r="AC5" i="1"/>
  <c r="AD5" i="1"/>
  <c r="P89" i="1" a="1"/>
  <c r="P89" i="1" s="1"/>
  <c r="I55" i="1"/>
  <c r="T131" i="1"/>
  <c r="AD12" i="1"/>
  <c r="AC12" i="1"/>
  <c r="AD10" i="1"/>
  <c r="H52" i="1"/>
  <c r="AR181" i="1"/>
  <c r="AR196" i="1" s="1"/>
  <c r="AW181" i="1"/>
  <c r="AW196" i="1" s="1"/>
  <c r="C53" i="1"/>
  <c r="G40" i="1"/>
  <c r="N32" i="1"/>
  <c r="Q32" i="1" s="1"/>
  <c r="C30" i="1"/>
  <c r="E30" i="1" s="1"/>
  <c r="Q34" i="1"/>
  <c r="O77" i="1"/>
  <c r="E33" i="1"/>
  <c r="E10" i="1"/>
  <c r="AZ198" i="1"/>
  <c r="BI198" i="1"/>
  <c r="BF198" i="1"/>
  <c r="N9" i="1"/>
  <c r="H40" i="1"/>
  <c r="BO386" i="1"/>
  <c r="BF325" i="1"/>
  <c r="BF299" i="1"/>
  <c r="BK260" i="1"/>
  <c r="H62" i="1"/>
  <c r="H38" i="1"/>
  <c r="O62" i="1"/>
  <c r="E37" i="1"/>
  <c r="P114" i="1"/>
  <c r="L53" i="1" a="1"/>
  <c r="L53" i="1" s="1"/>
  <c r="L5" i="1" a="1"/>
  <c r="L5" i="1" s="1"/>
  <c r="AW365" i="1"/>
  <c r="AU365" i="1"/>
  <c r="BF393" i="1"/>
  <c r="BF386" i="1" s="1"/>
  <c r="BK393" i="1"/>
  <c r="BK386" i="1" s="1"/>
  <c r="BA326" i="1"/>
  <c r="AX380" i="1"/>
  <c r="AX395" i="1" s="1"/>
  <c r="AP380" i="1"/>
  <c r="AP395" i="1" s="1"/>
  <c r="BM326" i="1"/>
  <c r="BD260" i="1"/>
  <c r="BB299" i="1"/>
  <c r="AP226" i="1"/>
  <c r="AP223" i="1"/>
  <c r="BE233" i="1"/>
  <c r="BB194" i="1"/>
  <c r="AW167" i="1"/>
  <c r="C89" i="1"/>
  <c r="C41" i="1"/>
  <c r="P125" i="1"/>
  <c r="L63" i="1" a="1"/>
  <c r="L63" i="1" s="1"/>
  <c r="L15" i="1" a="1"/>
  <c r="L15" i="1" s="1"/>
  <c r="AW194" i="1"/>
  <c r="BD194" i="1"/>
  <c r="BO194" i="1"/>
  <c r="AS167" i="1"/>
  <c r="C88" i="1"/>
  <c r="E88" i="1" s="1"/>
  <c r="C16" i="1"/>
  <c r="E16" i="1" s="1"/>
  <c r="G86" i="1"/>
  <c r="G38" i="1"/>
  <c r="AB11" i="1"/>
  <c r="P121" i="1"/>
  <c r="L60" i="1" a="1"/>
  <c r="L60" i="1" s="1"/>
  <c r="L36" i="1" a="1"/>
  <c r="L36" i="1" s="1"/>
  <c r="G53" i="1"/>
  <c r="G29" i="1"/>
  <c r="G5" i="1"/>
  <c r="AW313" i="1"/>
  <c r="AW328" i="1" s="1"/>
  <c r="AR313" i="1"/>
  <c r="AR328" i="1" s="1"/>
  <c r="C64" i="1"/>
  <c r="E64" i="1" s="1"/>
  <c r="AR396" i="1"/>
  <c r="BJ396" i="1"/>
  <c r="BJ376" i="1"/>
  <c r="BJ373" i="1" s="1"/>
  <c r="BL396" i="1"/>
  <c r="AY376" i="1"/>
  <c r="AY373" i="1" s="1"/>
  <c r="AY396" i="1"/>
  <c r="AP157" i="1"/>
  <c r="AP161" i="1"/>
  <c r="AP154" i="1"/>
  <c r="J131" i="1"/>
  <c r="G54" i="1"/>
  <c r="G131" i="1"/>
  <c r="F27" i="1"/>
  <c r="L65" i="1" a="1"/>
  <c r="L65" i="1" s="1"/>
  <c r="U131" i="1"/>
  <c r="AC131" i="1"/>
  <c r="AD15" i="1"/>
  <c r="AC15" i="1"/>
  <c r="AD13" i="1"/>
  <c r="S131" i="1"/>
  <c r="AB131" i="1"/>
  <c r="AB9" i="1"/>
  <c r="AD9" i="1"/>
  <c r="AC9" i="1"/>
  <c r="AD7" i="1"/>
  <c r="G89" i="1"/>
  <c r="R131" i="1"/>
  <c r="AA131" i="1"/>
  <c r="AD6" i="1"/>
  <c r="AC6" i="1"/>
  <c r="AB6" i="1"/>
  <c r="AD4" i="1"/>
  <c r="I131" i="1"/>
  <c r="H27" i="1"/>
  <c r="O75" i="1"/>
  <c r="N35" i="1"/>
  <c r="O35" i="1"/>
  <c r="H12" i="1"/>
  <c r="AY182" i="1"/>
  <c r="AY197" i="1" s="1"/>
  <c r="AQ182" i="1"/>
  <c r="AQ197" i="1" s="1"/>
  <c r="G17" i="1"/>
  <c r="C29" i="1"/>
  <c r="L64" i="1" a="1"/>
  <c r="L64" i="1" s="1"/>
  <c r="BB198" i="1"/>
  <c r="BL180" i="1"/>
  <c r="BL199" i="1" s="1"/>
  <c r="BD180" i="1"/>
  <c r="BD199" i="1" s="1"/>
  <c r="AV180" i="1"/>
  <c r="AV199" i="1" s="1"/>
  <c r="AP199" i="1"/>
  <c r="BK180" i="1"/>
  <c r="BK199" i="1" s="1"/>
  <c r="BC180" i="1"/>
  <c r="BC199" i="1" s="1"/>
  <c r="AU180" i="1"/>
  <c r="AU199" i="1" s="1"/>
  <c r="BJ180" i="1"/>
  <c r="BJ199" i="1" s="1"/>
  <c r="BI180" i="1"/>
  <c r="BI199" i="1" s="1"/>
  <c r="BA180" i="1"/>
  <c r="BA199" i="1" s="1"/>
  <c r="AS180" i="1"/>
  <c r="AS199" i="1" s="1"/>
  <c r="BN180" i="1"/>
  <c r="BN199" i="1" s="1"/>
  <c r="BF180" i="1"/>
  <c r="BF199" i="1" s="1"/>
  <c r="AX180" i="1"/>
  <c r="AX199" i="1" s="1"/>
  <c r="BO180" i="1"/>
  <c r="BO199" i="1" s="1"/>
  <c r="AW180" i="1"/>
  <c r="AW199" i="1" s="1"/>
  <c r="BM180" i="1"/>
  <c r="BM199" i="1" s="1"/>
  <c r="AT180" i="1"/>
  <c r="AT199" i="1" s="1"/>
  <c r="BH180" i="1"/>
  <c r="BH199" i="1" s="1"/>
  <c r="AR180" i="1"/>
  <c r="AR199" i="1" s="1"/>
  <c r="BG180" i="1"/>
  <c r="BG199" i="1" s="1"/>
  <c r="AQ180" i="1"/>
  <c r="AQ199" i="1" s="1"/>
  <c r="BE180" i="1"/>
  <c r="BE199" i="1" s="1"/>
  <c r="BB180" i="1"/>
  <c r="BB199" i="1" s="1"/>
  <c r="AZ180" i="1"/>
  <c r="AZ199" i="1" s="1"/>
  <c r="AY180" i="1"/>
  <c r="AY199" i="1" s="1"/>
  <c r="BN178" i="1"/>
  <c r="BN175" i="1" s="1"/>
  <c r="BN198" i="1"/>
  <c r="N37" i="1"/>
  <c r="Q37" i="1" s="1"/>
  <c r="AP368" i="1"/>
  <c r="AP390" i="1" s="1"/>
  <c r="BD368" i="1"/>
  <c r="E78" i="1"/>
  <c r="BN393" i="1"/>
  <c r="BN386" i="1" s="1"/>
  <c r="AV393" i="1"/>
  <c r="AV386" i="1" s="1"/>
  <c r="BF326" i="1"/>
  <c r="BM260" i="1"/>
  <c r="AV260" i="1"/>
  <c r="AX325" i="1"/>
  <c r="AX299" i="1"/>
  <c r="AN276" i="1"/>
  <c r="H63" i="1"/>
  <c r="H15" i="1"/>
  <c r="BJ194" i="1"/>
  <c r="BJ188" i="1" s="1"/>
  <c r="BL194" i="1"/>
  <c r="BD167" i="1"/>
  <c r="O38" i="1"/>
  <c r="P124" i="1"/>
  <c r="L62" i="1" a="1"/>
  <c r="L62" i="1" s="1"/>
  <c r="L86" i="1" a="1"/>
  <c r="L86" i="1" s="1"/>
  <c r="L38" i="1" a="1"/>
  <c r="L38" i="1" s="1"/>
  <c r="O85" i="1"/>
  <c r="H78" i="1"/>
  <c r="H30" i="1"/>
  <c r="G62" i="1"/>
  <c r="AZ396" i="1"/>
  <c r="AU376" i="1"/>
  <c r="AU373" i="1" s="1"/>
  <c r="AU396" i="1"/>
  <c r="AW396" i="1"/>
  <c r="BG396" i="1"/>
  <c r="AP141" i="1"/>
  <c r="O78" i="1"/>
  <c r="N78" i="1"/>
  <c r="C65" i="1"/>
  <c r="E65" i="1" s="1"/>
  <c r="E131" i="1"/>
  <c r="C131" i="1"/>
  <c r="AC7" i="1"/>
  <c r="AC13" i="1"/>
  <c r="AC4" i="1"/>
  <c r="C3" i="1"/>
  <c r="C27" i="1"/>
  <c r="C75" i="1"/>
  <c r="AC10" i="1"/>
  <c r="AB7" i="1"/>
  <c r="H89" i="1"/>
  <c r="AB15" i="1"/>
  <c r="I34" i="1"/>
  <c r="C39" i="1"/>
  <c r="E39" i="1" s="1"/>
  <c r="AZ182" i="1"/>
  <c r="AZ197" i="1" s="1"/>
  <c r="AR182" i="1"/>
  <c r="AR197" i="1" s="1"/>
  <c r="F51" i="1"/>
  <c r="F30" i="1"/>
  <c r="C40" i="1"/>
  <c r="E40" i="1" s="1"/>
  <c r="AD17" i="1"/>
  <c r="F17" i="1"/>
  <c r="N33" i="1"/>
  <c r="O33" i="1"/>
  <c r="O118" i="1" s="1"/>
  <c r="AC8" i="1"/>
  <c r="AB8" i="1"/>
  <c r="AD8" i="1"/>
  <c r="G77" i="1"/>
  <c r="AY248" i="1"/>
  <c r="AY263" i="1" s="1"/>
  <c r="AQ248" i="1"/>
  <c r="AQ263" i="1" s="1"/>
  <c r="O8" i="1"/>
  <c r="O117" i="1" s="1"/>
  <c r="N8" i="1"/>
  <c r="AT198" i="1"/>
  <c r="BC198" i="1"/>
  <c r="AQ198" i="1"/>
  <c r="P18" i="1" l="1"/>
  <c r="H66" i="1"/>
  <c r="T13" i="1" s="1"/>
  <c r="P90" i="1"/>
  <c r="I90" i="1"/>
  <c r="I98" i="1" s="1"/>
  <c r="AE35" i="1" s="1"/>
  <c r="AE55" i="1" s="1"/>
  <c r="H90" i="1"/>
  <c r="T14" i="1" s="1"/>
  <c r="C66" i="1"/>
  <c r="T9" i="1" s="1"/>
  <c r="G66" i="1"/>
  <c r="T25" i="1" s="1"/>
  <c r="G90" i="1"/>
  <c r="T26" i="1" s="1"/>
  <c r="C90" i="1"/>
  <c r="T10" i="1" s="1"/>
  <c r="F66" i="1"/>
  <c r="T33" i="1" s="1"/>
  <c r="G42" i="1"/>
  <c r="T24" i="1" s="1"/>
  <c r="I66" i="1"/>
  <c r="I74" i="1" s="1"/>
  <c r="P66" i="1"/>
  <c r="H42" i="1"/>
  <c r="T12" i="1" s="1"/>
  <c r="F18" i="1"/>
  <c r="T31" i="1" s="1"/>
  <c r="P42" i="1"/>
  <c r="F42" i="1"/>
  <c r="T32" i="1" s="1"/>
  <c r="G18" i="1"/>
  <c r="T23" i="1" s="1"/>
  <c r="I42" i="1"/>
  <c r="I50" i="1" s="1"/>
  <c r="M50" i="1" s="1"/>
  <c r="Q50" i="1" s="1"/>
  <c r="V106" i="1" s="1"/>
  <c r="H18" i="1"/>
  <c r="T11" i="1" s="1"/>
  <c r="D42" i="1"/>
  <c r="C42" i="1"/>
  <c r="T8" i="1" s="1"/>
  <c r="I18" i="1"/>
  <c r="I26" i="1" s="1"/>
  <c r="C18" i="1"/>
  <c r="T7" i="1" s="1"/>
  <c r="AR346" i="1"/>
  <c r="AQ346" i="1"/>
  <c r="AP143" i="1"/>
  <c r="A5" i="1"/>
  <c r="B105" i="1" s="1"/>
  <c r="AY364" i="1"/>
  <c r="BH376" i="1"/>
  <c r="BH373" i="1" s="1"/>
  <c r="BM178" i="1"/>
  <c r="BM175" i="1" s="1"/>
  <c r="BJ178" i="1"/>
  <c r="BJ175" i="1" s="1"/>
  <c r="BN376" i="1"/>
  <c r="BN373" i="1" s="1"/>
  <c r="AY386" i="1"/>
  <c r="M99" i="1"/>
  <c r="O123" i="1"/>
  <c r="N17" i="1"/>
  <c r="Q17" i="1" s="1"/>
  <c r="N38" i="1"/>
  <c r="Q38" i="1" s="1"/>
  <c r="E89" i="1"/>
  <c r="J99" i="1"/>
  <c r="O119" i="1"/>
  <c r="O120" i="1"/>
  <c r="AE15" i="1"/>
  <c r="AE11" i="1"/>
  <c r="AE7" i="1"/>
  <c r="BL376" i="1"/>
  <c r="BL373" i="1" s="1"/>
  <c r="AQ376" i="1"/>
  <c r="AY188" i="1"/>
  <c r="Q83" i="1"/>
  <c r="AZ386" i="1"/>
  <c r="AZ364" i="1" s="1"/>
  <c r="Q77" i="1"/>
  <c r="BE386" i="1"/>
  <c r="BB376" i="1"/>
  <c r="BB373" i="1" s="1"/>
  <c r="BO376" i="1"/>
  <c r="BO373" i="1" s="1"/>
  <c r="BH386" i="1"/>
  <c r="BC188" i="1"/>
  <c r="BC178" i="1"/>
  <c r="BC175" i="1" s="1"/>
  <c r="BL188" i="1"/>
  <c r="AR376" i="1"/>
  <c r="AV376" i="1"/>
  <c r="AV373" i="1" s="1"/>
  <c r="AV364" i="1" s="1"/>
  <c r="BC376" i="1"/>
  <c r="BC373" i="1" s="1"/>
  <c r="BC364" i="1" s="1"/>
  <c r="AT178" i="1"/>
  <c r="BB188" i="1"/>
  <c r="BH364" i="1"/>
  <c r="E29" i="1"/>
  <c r="E41" i="1"/>
  <c r="E7" i="1"/>
  <c r="Q85" i="1"/>
  <c r="Q4" i="1"/>
  <c r="BM257" i="1"/>
  <c r="AP257" i="1"/>
  <c r="AC17" i="1"/>
  <c r="AE8" i="1"/>
  <c r="AZ376" i="1"/>
  <c r="AZ373" i="1" s="1"/>
  <c r="Q35" i="1"/>
  <c r="N120" i="1"/>
  <c r="AC18" i="1"/>
  <c r="AE9" i="1"/>
  <c r="AP191" i="1"/>
  <c r="BM191" i="1"/>
  <c r="BM188" i="1" s="1"/>
  <c r="BM166" i="1" s="1"/>
  <c r="AW188" i="1"/>
  <c r="Q9" i="1"/>
  <c r="N118" i="1"/>
  <c r="N88" i="1"/>
  <c r="Q88" i="1" s="1"/>
  <c r="BA235" i="1"/>
  <c r="AP235" i="1"/>
  <c r="AP259" i="1" s="1"/>
  <c r="AX386" i="1"/>
  <c r="BD330" i="1"/>
  <c r="AV330" i="1"/>
  <c r="BE330" i="1"/>
  <c r="AU330" i="1"/>
  <c r="AT376" i="1"/>
  <c r="O15" i="1"/>
  <c r="AU386" i="1"/>
  <c r="AU364" i="1" s="1"/>
  <c r="AW178" i="1"/>
  <c r="AW175" i="1" s="1"/>
  <c r="AW166" i="1" s="1"/>
  <c r="O61" i="1"/>
  <c r="O122" i="1" s="1"/>
  <c r="N61" i="1"/>
  <c r="E38" i="1"/>
  <c r="AW386" i="1"/>
  <c r="BK178" i="1"/>
  <c r="BK175" i="1" s="1"/>
  <c r="AY264" i="1"/>
  <c r="BI264" i="1"/>
  <c r="BF264" i="1"/>
  <c r="N65" i="1"/>
  <c r="Q65" i="1" s="1"/>
  <c r="AZ188" i="1"/>
  <c r="BA376" i="1"/>
  <c r="BA373" i="1" s="1"/>
  <c r="BG239" i="1"/>
  <c r="BG234" i="1" s="1"/>
  <c r="BG233" i="1" s="1"/>
  <c r="AP239" i="1"/>
  <c r="AP234" i="1" s="1"/>
  <c r="N39" i="1"/>
  <c r="Q39" i="1" s="1"/>
  <c r="Q8" i="1"/>
  <c r="Q117" i="1" s="1"/>
  <c r="N117" i="1"/>
  <c r="AB10" i="1"/>
  <c r="AE10" i="1" s="1"/>
  <c r="N75" i="1"/>
  <c r="BD376" i="1"/>
  <c r="BD373" i="1" s="1"/>
  <c r="BG188" i="1"/>
  <c r="E77" i="1"/>
  <c r="AQ330" i="1"/>
  <c r="BL330" i="1"/>
  <c r="BM330" i="1"/>
  <c r="BC330" i="1"/>
  <c r="O63" i="1"/>
  <c r="BJ386" i="1"/>
  <c r="BO364" i="1"/>
  <c r="BO178" i="1"/>
  <c r="BO175" i="1" s="1"/>
  <c r="BG264" i="1"/>
  <c r="AP265" i="1"/>
  <c r="BK246" i="1"/>
  <c r="BK265" i="1" s="1"/>
  <c r="BC246" i="1"/>
  <c r="BC265" i="1" s="1"/>
  <c r="AU246" i="1"/>
  <c r="AU265" i="1" s="1"/>
  <c r="BJ246" i="1"/>
  <c r="BJ265" i="1" s="1"/>
  <c r="BB246" i="1"/>
  <c r="BB265" i="1" s="1"/>
  <c r="AT246" i="1"/>
  <c r="AT265" i="1" s="1"/>
  <c r="BI246" i="1"/>
  <c r="BI265" i="1" s="1"/>
  <c r="BI254" i="1" s="1"/>
  <c r="BA246" i="1"/>
  <c r="BA265" i="1" s="1"/>
  <c r="AS246" i="1"/>
  <c r="AS265" i="1" s="1"/>
  <c r="BH246" i="1"/>
  <c r="BH265" i="1" s="1"/>
  <c r="AZ246" i="1"/>
  <c r="AZ265" i="1" s="1"/>
  <c r="AR246" i="1"/>
  <c r="AR265" i="1" s="1"/>
  <c r="BO246" i="1"/>
  <c r="BO265" i="1" s="1"/>
  <c r="BG246" i="1"/>
  <c r="BG265" i="1" s="1"/>
  <c r="AY246" i="1"/>
  <c r="AY265" i="1" s="1"/>
  <c r="AY254" i="1" s="1"/>
  <c r="AQ246" i="1"/>
  <c r="AQ265" i="1" s="1"/>
  <c r="BN246" i="1"/>
  <c r="BN265" i="1" s="1"/>
  <c r="BN254" i="1" s="1"/>
  <c r="BF246" i="1"/>
  <c r="BF265" i="1" s="1"/>
  <c r="AX246" i="1"/>
  <c r="AX265" i="1" s="1"/>
  <c r="BM246" i="1"/>
  <c r="BM265" i="1" s="1"/>
  <c r="BE246" i="1"/>
  <c r="BE265" i="1" s="1"/>
  <c r="AW246" i="1"/>
  <c r="AW265" i="1" s="1"/>
  <c r="BL246" i="1"/>
  <c r="BL265" i="1" s="1"/>
  <c r="BD246" i="1"/>
  <c r="BD265" i="1" s="1"/>
  <c r="AV246" i="1"/>
  <c r="AV265" i="1" s="1"/>
  <c r="AV254" i="1" s="1"/>
  <c r="AV264" i="1"/>
  <c r="BN264" i="1"/>
  <c r="AX376" i="1"/>
  <c r="AX373" i="1" s="1"/>
  <c r="AX364" i="1" s="1"/>
  <c r="BN188" i="1"/>
  <c r="BN166" i="1" s="1"/>
  <c r="N41" i="1"/>
  <c r="Q41" i="1" s="1"/>
  <c r="BA301" i="1"/>
  <c r="AP301" i="1"/>
  <c r="AP325" i="1" s="1"/>
  <c r="BG178" i="1"/>
  <c r="BG175" i="1" s="1"/>
  <c r="Q7" i="1"/>
  <c r="N116" i="1"/>
  <c r="AX182" i="1"/>
  <c r="AX197" i="1" s="1"/>
  <c r="AP182" i="1"/>
  <c r="AP197" i="1" s="1"/>
  <c r="BK188" i="1"/>
  <c r="BL386" i="1"/>
  <c r="BL364" i="1" s="1"/>
  <c r="BE376" i="1"/>
  <c r="BE373" i="1" s="1"/>
  <c r="BE364" i="1" s="1"/>
  <c r="D63" i="1" a="1"/>
  <c r="D63" i="1" s="1"/>
  <c r="E63" i="1" s="1"/>
  <c r="D15" i="1" a="1"/>
  <c r="D15" i="1" s="1"/>
  <c r="E15" i="1" s="1"/>
  <c r="E27" i="1"/>
  <c r="BG376" i="1"/>
  <c r="BG373" i="1" s="1"/>
  <c r="BG364" i="1" s="1"/>
  <c r="AP206" i="1"/>
  <c r="BF178" i="1"/>
  <c r="BF175" i="1" s="1"/>
  <c r="Q54" i="1"/>
  <c r="BG330" i="1"/>
  <c r="AY330" i="1"/>
  <c r="AX330" i="1"/>
  <c r="BK330" i="1"/>
  <c r="AP140" i="1"/>
  <c r="AN144" i="1"/>
  <c r="D52" i="1" a="1"/>
  <c r="D52" i="1" s="1"/>
  <c r="E52" i="1" s="1"/>
  <c r="D4" i="1" a="1"/>
  <c r="D4" i="1" s="1"/>
  <c r="E4" i="1" s="1"/>
  <c r="AP314" i="1"/>
  <c r="AX314" i="1"/>
  <c r="AX329" i="1" s="1"/>
  <c r="BA367" i="1"/>
  <c r="AP367" i="1"/>
  <c r="AP391" i="1" s="1"/>
  <c r="Q12" i="1"/>
  <c r="Q76" i="1"/>
  <c r="AP318" i="1"/>
  <c r="AP316" i="1" s="1"/>
  <c r="BJ318" i="1"/>
  <c r="BJ316" i="1" s="1"/>
  <c r="O27" i="1"/>
  <c r="N27" i="1"/>
  <c r="O126" i="1"/>
  <c r="BO264" i="1"/>
  <c r="BO244" i="1"/>
  <c r="BO241" i="1" s="1"/>
  <c r="AT264" i="1"/>
  <c r="BD264" i="1"/>
  <c r="E61" i="1"/>
  <c r="AS376" i="1"/>
  <c r="O116" i="1"/>
  <c r="N64" i="1"/>
  <c r="Q64" i="1" s="1"/>
  <c r="AE6" i="1"/>
  <c r="AQ178" i="1"/>
  <c r="Q33" i="1"/>
  <c r="D62" i="1" a="1"/>
  <c r="D62" i="1" s="1"/>
  <c r="E62" i="1" s="1"/>
  <c r="D14" i="1" a="1"/>
  <c r="D14" i="1" s="1"/>
  <c r="BO188" i="1"/>
  <c r="AP323" i="1"/>
  <c r="BM323" i="1"/>
  <c r="O53" i="1"/>
  <c r="N53" i="1"/>
  <c r="AS330" i="1"/>
  <c r="BO330" i="1"/>
  <c r="BF330" i="1"/>
  <c r="D51" i="1" a="1"/>
  <c r="D51" i="1" s="1"/>
  <c r="D3" i="1" a="1"/>
  <c r="D3" i="1" s="1"/>
  <c r="E3" i="1" s="1"/>
  <c r="BA169" i="1"/>
  <c r="AP169" i="1"/>
  <c r="AP193" i="1" s="1"/>
  <c r="O29" i="1"/>
  <c r="N29" i="1"/>
  <c r="AX248" i="1"/>
  <c r="AX263" i="1" s="1"/>
  <c r="AP248" i="1"/>
  <c r="AP263" i="1" s="1"/>
  <c r="BJ384" i="1"/>
  <c r="BJ382" i="1" s="1"/>
  <c r="BJ364" i="1" s="1"/>
  <c r="AP384" i="1"/>
  <c r="AP382" i="1" s="1"/>
  <c r="BL178" i="1"/>
  <c r="BL175" i="1" s="1"/>
  <c r="BD178" i="1"/>
  <c r="BD175" i="1" s="1"/>
  <c r="N16" i="1"/>
  <c r="AR264" i="1"/>
  <c r="AR244" i="1"/>
  <c r="BB264" i="1"/>
  <c r="BB254" i="1" s="1"/>
  <c r="BB244" i="1"/>
  <c r="BB241" i="1" s="1"/>
  <c r="BL264" i="1"/>
  <c r="BI376" i="1"/>
  <c r="BI373" i="1" s="1"/>
  <c r="N86" i="1"/>
  <c r="Q86" i="1" s="1"/>
  <c r="BE188" i="1"/>
  <c r="AV178" i="1"/>
  <c r="AV175" i="1" s="1"/>
  <c r="N28" i="1"/>
  <c r="Q28" i="1" s="1"/>
  <c r="P131" i="1"/>
  <c r="D6" i="1" a="1"/>
  <c r="D6" i="1" s="1"/>
  <c r="E6" i="1" s="1"/>
  <c r="D54" i="1" a="1"/>
  <c r="D54" i="1" s="1"/>
  <c r="E54" i="1" s="1"/>
  <c r="AQ264" i="1"/>
  <c r="BA264" i="1"/>
  <c r="BK264" i="1"/>
  <c r="BN364" i="1"/>
  <c r="BF188" i="1"/>
  <c r="AB4" i="1"/>
  <c r="AW376" i="1"/>
  <c r="AW373" i="1" s="1"/>
  <c r="AW364" i="1" s="1"/>
  <c r="BB178" i="1"/>
  <c r="BB175" i="1" s="1"/>
  <c r="BI178" i="1"/>
  <c r="BI175" i="1" s="1"/>
  <c r="N89" i="1"/>
  <c r="O89" i="1"/>
  <c r="O127" i="1" s="1"/>
  <c r="AP181" i="1"/>
  <c r="AU181" i="1"/>
  <c r="O5" i="1"/>
  <c r="N5" i="1"/>
  <c r="AV188" i="1"/>
  <c r="AP302" i="1"/>
  <c r="AP324" i="1" s="1"/>
  <c r="BD302" i="1"/>
  <c r="Q31" i="1"/>
  <c r="BI330" i="1"/>
  <c r="BA330" i="1"/>
  <c r="BN330" i="1"/>
  <c r="BG386" i="1"/>
  <c r="E85" i="1"/>
  <c r="BH188" i="1"/>
  <c r="Q36" i="1"/>
  <c r="AZ264" i="1"/>
  <c r="AZ244" i="1"/>
  <c r="AZ241" i="1" s="1"/>
  <c r="BJ264" i="1"/>
  <c r="AW264" i="1"/>
  <c r="O51" i="1"/>
  <c r="N51" i="1"/>
  <c r="Q58" i="1"/>
  <c r="BM376" i="1"/>
  <c r="BM373" i="1" s="1"/>
  <c r="AP305" i="1"/>
  <c r="AP300" i="1" s="1"/>
  <c r="AP299" i="1" s="1"/>
  <c r="BG305" i="1"/>
  <c r="BG300" i="1" s="1"/>
  <c r="BG299" i="1" s="1"/>
  <c r="O113" i="1"/>
  <c r="N30" i="1"/>
  <c r="Q30" i="1" s="1"/>
  <c r="N3" i="1"/>
  <c r="Q55" i="1"/>
  <c r="BH330" i="1"/>
  <c r="F131" i="1"/>
  <c r="D75" i="1" a="1"/>
  <c r="D75" i="1" s="1"/>
  <c r="D90" i="1" s="1"/>
  <c r="AB13" i="1"/>
  <c r="AE13" i="1" s="1"/>
  <c r="BD390" i="1"/>
  <c r="BD386" i="1" s="1"/>
  <c r="BD365" i="1"/>
  <c r="BJ186" i="1"/>
  <c r="BJ184" i="1" s="1"/>
  <c r="BJ166" i="1" s="1"/>
  <c r="AP186" i="1"/>
  <c r="AP184" i="1" s="1"/>
  <c r="D53" i="1" a="1"/>
  <c r="D53" i="1" s="1"/>
  <c r="E53" i="1" s="1"/>
  <c r="D5" i="1" a="1"/>
  <c r="D5" i="1" s="1"/>
  <c r="E5" i="1" s="1"/>
  <c r="BI188" i="1"/>
  <c r="BI166" i="1" s="1"/>
  <c r="AY178" i="1"/>
  <c r="AY175" i="1" s="1"/>
  <c r="AY166" i="1" s="1"/>
  <c r="BA178" i="1"/>
  <c r="BA175" i="1" s="1"/>
  <c r="AT330" i="1"/>
  <c r="BB330" i="1"/>
  <c r="AR330" i="1"/>
  <c r="Q10" i="1"/>
  <c r="N119" i="1"/>
  <c r="N52" i="1"/>
  <c r="Q52" i="1" s="1"/>
  <c r="BF254" i="1"/>
  <c r="BI364" i="1"/>
  <c r="BH264" i="1"/>
  <c r="BH244" i="1"/>
  <c r="BH241" i="1" s="1"/>
  <c r="AU264" i="1"/>
  <c r="AU254" i="1" s="1"/>
  <c r="AU244" i="1"/>
  <c r="AU241" i="1" s="1"/>
  <c r="BE264" i="1"/>
  <c r="BE254" i="1" s="1"/>
  <c r="BE244" i="1"/>
  <c r="BE241" i="1" s="1"/>
  <c r="Q6" i="1"/>
  <c r="N84" i="1"/>
  <c r="N121" i="1" s="1"/>
  <c r="O84" i="1"/>
  <c r="BJ252" i="1"/>
  <c r="BJ250" i="1" s="1"/>
  <c r="AP252" i="1"/>
  <c r="AP250" i="1" s="1"/>
  <c r="BB386" i="1"/>
  <c r="AB14" i="1"/>
  <c r="AE14" i="1" s="1"/>
  <c r="AW310" i="1"/>
  <c r="AW307" i="1" s="1"/>
  <c r="AW330" i="1"/>
  <c r="AX264" i="1"/>
  <c r="AC16" i="1"/>
  <c r="Q78" i="1"/>
  <c r="AP173" i="1"/>
  <c r="AP168" i="1" s="1"/>
  <c r="AP167" i="1" s="1"/>
  <c r="BG173" i="1"/>
  <c r="BG168" i="1" s="1"/>
  <c r="BG167" i="1" s="1"/>
  <c r="BD188" i="1"/>
  <c r="AZ178" i="1"/>
  <c r="AZ175" i="1" s="1"/>
  <c r="AB12" i="1"/>
  <c r="AE12" i="1" s="1"/>
  <c r="AB5" i="1"/>
  <c r="AP236" i="1"/>
  <c r="AP258" i="1" s="1"/>
  <c r="BD236" i="1"/>
  <c r="O87" i="1"/>
  <c r="N87" i="1"/>
  <c r="BJ330" i="1"/>
  <c r="BH312" i="1"/>
  <c r="BH331" i="1" s="1"/>
  <c r="BH320" i="1" s="1"/>
  <c r="AZ312" i="1"/>
  <c r="AZ331" i="1" s="1"/>
  <c r="AR312" i="1"/>
  <c r="AR331" i="1" s="1"/>
  <c r="BM312" i="1"/>
  <c r="BM331" i="1" s="1"/>
  <c r="BE312" i="1"/>
  <c r="BE331" i="1" s="1"/>
  <c r="BE320" i="1" s="1"/>
  <c r="AW312" i="1"/>
  <c r="AW331" i="1" s="1"/>
  <c r="AP331" i="1"/>
  <c r="BK312" i="1"/>
  <c r="BK331" i="1" s="1"/>
  <c r="BK320" i="1" s="1"/>
  <c r="BC312" i="1"/>
  <c r="BC331" i="1" s="1"/>
  <c r="BC320" i="1" s="1"/>
  <c r="AU312" i="1"/>
  <c r="AU331" i="1" s="1"/>
  <c r="AU320" i="1" s="1"/>
  <c r="BJ312" i="1"/>
  <c r="BJ331" i="1" s="1"/>
  <c r="BB312" i="1"/>
  <c r="BB331" i="1" s="1"/>
  <c r="AT312" i="1"/>
  <c r="AT331" i="1" s="1"/>
  <c r="BF312" i="1"/>
  <c r="BF331" i="1" s="1"/>
  <c r="BD312" i="1"/>
  <c r="BD331" i="1" s="1"/>
  <c r="BA312" i="1"/>
  <c r="BA331" i="1" s="1"/>
  <c r="BO312" i="1"/>
  <c r="BO331" i="1" s="1"/>
  <c r="BO320" i="1" s="1"/>
  <c r="AY312" i="1"/>
  <c r="AY331" i="1" s="1"/>
  <c r="AY320" i="1" s="1"/>
  <c r="BN312" i="1"/>
  <c r="BN331" i="1" s="1"/>
  <c r="BN320" i="1" s="1"/>
  <c r="AX312" i="1"/>
  <c r="AX331" i="1" s="1"/>
  <c r="BL312" i="1"/>
  <c r="BL331" i="1" s="1"/>
  <c r="AV312" i="1"/>
  <c r="AV331" i="1" s="1"/>
  <c r="AV320" i="1" s="1"/>
  <c r="BI312" i="1"/>
  <c r="BI331" i="1" s="1"/>
  <c r="AS312" i="1"/>
  <c r="AS331" i="1" s="1"/>
  <c r="BG312" i="1"/>
  <c r="BG331" i="1" s="1"/>
  <c r="AQ312" i="1"/>
  <c r="AQ331" i="1" s="1"/>
  <c r="AZ330" i="1"/>
  <c r="BE178" i="1"/>
  <c r="BE175" i="1" s="1"/>
  <c r="AS178" i="1"/>
  <c r="BF376" i="1"/>
  <c r="BF373" i="1" s="1"/>
  <c r="BF364" i="1" s="1"/>
  <c r="BH178" i="1"/>
  <c r="BH175" i="1" s="1"/>
  <c r="BH166" i="1" s="1"/>
  <c r="Q79" i="1"/>
  <c r="AS264" i="1"/>
  <c r="BC264" i="1"/>
  <c r="BC244" i="1"/>
  <c r="BC241" i="1" s="1"/>
  <c r="BM264" i="1"/>
  <c r="BM244" i="1"/>
  <c r="BM241" i="1" s="1"/>
  <c r="O115" i="1"/>
  <c r="AP394" i="1"/>
  <c r="AP376" i="1"/>
  <c r="AX188" i="1"/>
  <c r="AR178" i="1"/>
  <c r="BK376" i="1"/>
  <c r="BK373" i="1" s="1"/>
  <c r="BK364" i="1" s="1"/>
  <c r="BM386" i="1"/>
  <c r="N40" i="1"/>
  <c r="Q40" i="1" s="1"/>
  <c r="N13" i="1"/>
  <c r="O90" i="1" l="1"/>
  <c r="N90" i="1"/>
  <c r="O18" i="1"/>
  <c r="D66" i="1"/>
  <c r="E42" i="1"/>
  <c r="O42" i="1"/>
  <c r="O66" i="1"/>
  <c r="N42" i="1"/>
  <c r="D18" i="1"/>
  <c r="AR345" i="1"/>
  <c r="AR375" i="1" s="1"/>
  <c r="AR393" i="1" s="1"/>
  <c r="AQ345" i="1"/>
  <c r="AQ281" i="1"/>
  <c r="AQ308" i="1" s="1"/>
  <c r="AR281" i="1"/>
  <c r="AR308" i="1" s="1"/>
  <c r="AR326" i="1" s="1"/>
  <c r="AR213" i="1"/>
  <c r="AR243" i="1" s="1"/>
  <c r="AR261" i="1" s="1"/>
  <c r="AQ213" i="1"/>
  <c r="AR214" i="1"/>
  <c r="AQ214" i="1"/>
  <c r="AR148" i="1"/>
  <c r="AQ148" i="1"/>
  <c r="AR147" i="1"/>
  <c r="AR177" i="1" s="1"/>
  <c r="AR195" i="1" s="1"/>
  <c r="AQ147" i="1"/>
  <c r="AQ215" i="1"/>
  <c r="AR215" i="1"/>
  <c r="AR242" i="1" s="1"/>
  <c r="AQ149" i="1"/>
  <c r="AQ176" i="1" s="1"/>
  <c r="AR149" i="1"/>
  <c r="AR176" i="1" s="1"/>
  <c r="AR194" i="1" s="1"/>
  <c r="AR279" i="1"/>
  <c r="AR309" i="1" s="1"/>
  <c r="AR327" i="1" s="1"/>
  <c r="AQ279" i="1"/>
  <c r="AQ309" i="1" s="1"/>
  <c r="AQ327" i="1" s="1"/>
  <c r="AR280" i="1"/>
  <c r="AQ280" i="1"/>
  <c r="AR347" i="1"/>
  <c r="AR374" i="1" s="1"/>
  <c r="AQ347" i="1"/>
  <c r="AP346" i="1"/>
  <c r="BB166" i="1"/>
  <c r="I105" i="1"/>
  <c r="B109" i="1"/>
  <c r="BI320" i="1"/>
  <c r="AX254" i="1"/>
  <c r="BG166" i="1"/>
  <c r="BF320" i="1"/>
  <c r="BC166" i="1"/>
  <c r="AX320" i="1"/>
  <c r="BB310" i="1"/>
  <c r="BB307" i="1" s="1"/>
  <c r="AT244" i="1"/>
  <c r="BF244" i="1"/>
  <c r="BF241" i="1" s="1"/>
  <c r="BF232" i="1" s="1"/>
  <c r="I25" i="1"/>
  <c r="AB34" i="1" s="1"/>
  <c r="AS244" i="1"/>
  <c r="BJ320" i="1"/>
  <c r="BL166" i="1"/>
  <c r="AW320" i="1"/>
  <c r="BK244" i="1"/>
  <c r="BK241" i="1" s="1"/>
  <c r="AV166" i="1"/>
  <c r="BB232" i="1"/>
  <c r="O124" i="1"/>
  <c r="N63" i="1"/>
  <c r="N15" i="1"/>
  <c r="Q15" i="1" s="1"/>
  <c r="E14" i="1"/>
  <c r="E18" i="1" s="1"/>
  <c r="N14" i="1"/>
  <c r="N62" i="1"/>
  <c r="Q62" i="1" s="1"/>
  <c r="I73" i="1"/>
  <c r="E69" i="1" s="1"/>
  <c r="Q120" i="1"/>
  <c r="BM320" i="1"/>
  <c r="BM254" i="1"/>
  <c r="BM232" i="1" s="1"/>
  <c r="BE166" i="1"/>
  <c r="AZ320" i="1"/>
  <c r="AW244" i="1"/>
  <c r="AW241" i="1" s="1"/>
  <c r="BG320" i="1"/>
  <c r="AZ166" i="1"/>
  <c r="AW254" i="1"/>
  <c r="BM364" i="1"/>
  <c r="BJ244" i="1"/>
  <c r="BJ241" i="1" s="1"/>
  <c r="AV310" i="1"/>
  <c r="AV307" i="1" s="1"/>
  <c r="AV298" i="1" s="1"/>
  <c r="Q87" i="1"/>
  <c r="AT310" i="1"/>
  <c r="BJ254" i="1"/>
  <c r="BJ232" i="1" s="1"/>
  <c r="AX178" i="1"/>
  <c r="AX175" i="1" s="1"/>
  <c r="AX166" i="1" s="1"/>
  <c r="BF166" i="1"/>
  <c r="BC254" i="1"/>
  <c r="BC232" i="1" s="1"/>
  <c r="BE232" i="1"/>
  <c r="BN310" i="1"/>
  <c r="BN307" i="1" s="1"/>
  <c r="BN298" i="1" s="1"/>
  <c r="BD166" i="1"/>
  <c r="BK254" i="1"/>
  <c r="BL244" i="1"/>
  <c r="BL241" i="1" s="1"/>
  <c r="BL232" i="1" s="1"/>
  <c r="BK166" i="1"/>
  <c r="BB364" i="1"/>
  <c r="BL254" i="1"/>
  <c r="BL320" i="1"/>
  <c r="Q61" i="1"/>
  <c r="R108" i="1"/>
  <c r="Q53" i="1"/>
  <c r="AC35" i="1"/>
  <c r="AC55" i="1" s="1"/>
  <c r="Q119" i="1"/>
  <c r="E67" i="1"/>
  <c r="AD21" i="1" s="1"/>
  <c r="E68" i="1"/>
  <c r="AD22" i="1" s="1"/>
  <c r="E20" i="1"/>
  <c r="I20" i="1" s="1"/>
  <c r="I23" i="1" s="1"/>
  <c r="N127" i="1"/>
  <c r="E19" i="1"/>
  <c r="I19" i="1" s="1"/>
  <c r="P99" i="1"/>
  <c r="N115" i="1"/>
  <c r="O114" i="1"/>
  <c r="M98" i="1"/>
  <c r="Q98" i="1" s="1"/>
  <c r="V108" i="1" s="1"/>
  <c r="Q115" i="1"/>
  <c r="BD258" i="1"/>
  <c r="BD254" i="1" s="1"/>
  <c r="BD233" i="1"/>
  <c r="AW298" i="1"/>
  <c r="AU196" i="1"/>
  <c r="AU188" i="1" s="1"/>
  <c r="AU178" i="1"/>
  <c r="AU175" i="1" s="1"/>
  <c r="E51" i="1"/>
  <c r="E66" i="1" s="1"/>
  <c r="AE5" i="1"/>
  <c r="AB17" i="1"/>
  <c r="AE17" i="1" s="1"/>
  <c r="Q3" i="1"/>
  <c r="Q105" i="1"/>
  <c r="N112" i="1"/>
  <c r="AP196" i="1"/>
  <c r="AP178" i="1"/>
  <c r="BF310" i="1"/>
  <c r="BF307" i="1" s="1"/>
  <c r="BG310" i="1"/>
  <c r="BG307" i="1" s="1"/>
  <c r="AP233" i="1"/>
  <c r="O125" i="1"/>
  <c r="Q75" i="1"/>
  <c r="Q108" i="1"/>
  <c r="BA259" i="1"/>
  <c r="BA254" i="1" s="1"/>
  <c r="BA233" i="1"/>
  <c r="BJ310" i="1"/>
  <c r="BJ307" i="1" s="1"/>
  <c r="BJ298" i="1" s="1"/>
  <c r="AU232" i="1"/>
  <c r="BD364" i="1"/>
  <c r="BA310" i="1"/>
  <c r="BA307" i="1" s="1"/>
  <c r="BA244" i="1"/>
  <c r="BA241" i="1" s="1"/>
  <c r="BK310" i="1"/>
  <c r="BK307" i="1" s="1"/>
  <c r="BK298" i="1" s="1"/>
  <c r="Q116" i="1"/>
  <c r="BG254" i="1"/>
  <c r="BG244" i="1"/>
  <c r="BG241" i="1" s="1"/>
  <c r="BG232" i="1" s="1"/>
  <c r="AQ310" i="1"/>
  <c r="AP365" i="1"/>
  <c r="BI244" i="1"/>
  <c r="BI241" i="1" s="1"/>
  <c r="BI232" i="1" s="1"/>
  <c r="BD310" i="1"/>
  <c r="BD307" i="1" s="1"/>
  <c r="O112" i="1"/>
  <c r="BD324" i="1"/>
  <c r="BD320" i="1" s="1"/>
  <c r="BD299" i="1"/>
  <c r="Q89" i="1"/>
  <c r="Q127" i="1" s="1"/>
  <c r="AB16" i="1"/>
  <c r="AE16" i="1" s="1"/>
  <c r="AE4" i="1"/>
  <c r="O121" i="1"/>
  <c r="Q29" i="1"/>
  <c r="AB18" i="1"/>
  <c r="AE18" i="1" s="1"/>
  <c r="E43" i="1"/>
  <c r="E44" i="1"/>
  <c r="Q27" i="1"/>
  <c r="Q106" i="1"/>
  <c r="M26" i="1"/>
  <c r="Q26" i="1" s="1"/>
  <c r="V105" i="1" s="1"/>
  <c r="AB35" i="1"/>
  <c r="BN244" i="1"/>
  <c r="BN241" i="1" s="1"/>
  <c r="BN232" i="1" s="1"/>
  <c r="BO254" i="1"/>
  <c r="BO232" i="1" s="1"/>
  <c r="BO166" i="1"/>
  <c r="BC310" i="1"/>
  <c r="BC307" i="1" s="1"/>
  <c r="BC298" i="1" s="1"/>
  <c r="E75" i="1"/>
  <c r="E90" i="1" s="1"/>
  <c r="Q118" i="1"/>
  <c r="F99" i="1"/>
  <c r="G99" i="1"/>
  <c r="AX244" i="1"/>
  <c r="AX241" i="1" s="1"/>
  <c r="AX232" i="1" s="1"/>
  <c r="BH310" i="1"/>
  <c r="BH307" i="1" s="1"/>
  <c r="BH298" i="1" s="1"/>
  <c r="BI310" i="1"/>
  <c r="BI307" i="1" s="1"/>
  <c r="BI298" i="1" s="1"/>
  <c r="BO310" i="1"/>
  <c r="BO307" i="1" s="1"/>
  <c r="BO298" i="1" s="1"/>
  <c r="BD244" i="1"/>
  <c r="BD241" i="1" s="1"/>
  <c r="AX310" i="1"/>
  <c r="AX307" i="1" s="1"/>
  <c r="AX298" i="1" s="1"/>
  <c r="A41" i="1"/>
  <c r="I99" i="1"/>
  <c r="AU310" i="1"/>
  <c r="AU307" i="1" s="1"/>
  <c r="AU298" i="1" s="1"/>
  <c r="A65" i="1"/>
  <c r="BK232" i="1"/>
  <c r="M74" i="1"/>
  <c r="Q74" i="1" s="1"/>
  <c r="V107" i="1" s="1"/>
  <c r="AD35" i="1"/>
  <c r="AD55" i="1" s="1"/>
  <c r="C99" i="1"/>
  <c r="A17" i="1"/>
  <c r="Q13" i="1"/>
  <c r="N122" i="1"/>
  <c r="BB320" i="1"/>
  <c r="BB298" i="1" s="1"/>
  <c r="Q84" i="1"/>
  <c r="Q121" i="1" s="1"/>
  <c r="BG298" i="1"/>
  <c r="Q51" i="1"/>
  <c r="Q107" i="1"/>
  <c r="AQ244" i="1"/>
  <c r="AS310" i="1"/>
  <c r="BA391" i="1"/>
  <c r="BA386" i="1" s="1"/>
  <c r="BA365" i="1"/>
  <c r="AV244" i="1"/>
  <c r="AV241" i="1" s="1"/>
  <c r="AV232" i="1" s="1"/>
  <c r="AZ254" i="1"/>
  <c r="AZ232" i="1" s="1"/>
  <c r="AY244" i="1"/>
  <c r="AY241" i="1" s="1"/>
  <c r="AY232" i="1" s="1"/>
  <c r="AZ310" i="1"/>
  <c r="AZ307" i="1" s="1"/>
  <c r="AZ298" i="1" s="1"/>
  <c r="AR310" i="1"/>
  <c r="R106" i="1"/>
  <c r="Q5" i="1"/>
  <c r="N114" i="1"/>
  <c r="I49" i="1"/>
  <c r="BA193" i="1"/>
  <c r="BA188" i="1" s="1"/>
  <c r="BA167" i="1"/>
  <c r="BA325" i="1"/>
  <c r="BA320" i="1" s="1"/>
  <c r="BA299" i="1"/>
  <c r="BH254" i="1"/>
  <c r="BH232" i="1" s="1"/>
  <c r="BM310" i="1"/>
  <c r="BM307" i="1" s="1"/>
  <c r="I97" i="1"/>
  <c r="N113" i="1"/>
  <c r="AP244" i="1"/>
  <c r="E91" i="1"/>
  <c r="E92" i="1"/>
  <c r="Q16" i="1"/>
  <c r="Q126" i="1" s="1"/>
  <c r="N126" i="1"/>
  <c r="AP329" i="1"/>
  <c r="AP310" i="1"/>
  <c r="AY310" i="1"/>
  <c r="AY307" i="1" s="1"/>
  <c r="AY298" i="1" s="1"/>
  <c r="BL310" i="1"/>
  <c r="BL307" i="1" s="1"/>
  <c r="BL298" i="1" s="1"/>
  <c r="BE310" i="1"/>
  <c r="BE307" i="1" s="1"/>
  <c r="BE298" i="1" s="1"/>
  <c r="Q113" i="1"/>
  <c r="H99" i="1"/>
  <c r="Q90" i="1" l="1"/>
  <c r="N18" i="1"/>
  <c r="N66" i="1"/>
  <c r="Q42" i="1"/>
  <c r="AP345" i="1"/>
  <c r="AP280" i="1"/>
  <c r="AP149" i="1"/>
  <c r="AT176" i="1" s="1"/>
  <c r="E21" i="1"/>
  <c r="I21" i="1" s="1"/>
  <c r="I24" i="1" s="1"/>
  <c r="M25" i="1"/>
  <c r="Q25" i="1" s="1"/>
  <c r="T105" i="1" s="1"/>
  <c r="AR320" i="1"/>
  <c r="AP347" i="1"/>
  <c r="AR307" i="1"/>
  <c r="AP148" i="1"/>
  <c r="AP279" i="1"/>
  <c r="AS309" i="1" s="1"/>
  <c r="AP281" i="1"/>
  <c r="AP308" i="1" s="1"/>
  <c r="AW232" i="1"/>
  <c r="K109" i="1"/>
  <c r="J109" i="1"/>
  <c r="I109" i="1"/>
  <c r="M105" i="1"/>
  <c r="M109" i="1" s="1"/>
  <c r="BM298" i="1"/>
  <c r="BF298" i="1"/>
  <c r="Q14" i="1"/>
  <c r="Q123" i="1" s="1"/>
  <c r="N123" i="1"/>
  <c r="R107" i="1"/>
  <c r="P107" i="1" s="1"/>
  <c r="H107" i="1" s="1"/>
  <c r="G107" i="1" s="1"/>
  <c r="Q63" i="1"/>
  <c r="Q66" i="1" s="1"/>
  <c r="R105" i="1"/>
  <c r="P105" i="1" s="1"/>
  <c r="N125" i="1"/>
  <c r="N124" i="1"/>
  <c r="AD34" i="1"/>
  <c r="AD54" i="1" s="1"/>
  <c r="AB21" i="1"/>
  <c r="I68" i="1"/>
  <c r="I71" i="1" s="1"/>
  <c r="AD31" i="1" s="1"/>
  <c r="AD58" i="1" s="1"/>
  <c r="M73" i="1"/>
  <c r="Q73" i="1" s="1"/>
  <c r="T107" i="1" s="1"/>
  <c r="I67" i="1"/>
  <c r="I70" i="1" s="1"/>
  <c r="M70" i="1" s="1"/>
  <c r="Q70" i="1" s="1"/>
  <c r="Q122" i="1"/>
  <c r="AB22" i="1"/>
  <c r="D99" i="1"/>
  <c r="BA166" i="1"/>
  <c r="V109" i="1"/>
  <c r="P108" i="1"/>
  <c r="H108" i="1" s="1"/>
  <c r="G108" i="1" s="1"/>
  <c r="O99" i="1"/>
  <c r="E99" i="1"/>
  <c r="M23" i="1"/>
  <c r="Q23" i="1" s="1"/>
  <c r="AB31" i="1"/>
  <c r="AQ375" i="1"/>
  <c r="AQ393" i="1" s="1"/>
  <c r="AB54" i="1"/>
  <c r="AC21" i="1"/>
  <c r="I43" i="1"/>
  <c r="AQ194" i="1"/>
  <c r="Q112" i="1"/>
  <c r="Q114" i="1"/>
  <c r="BA364" i="1"/>
  <c r="AP214" i="1"/>
  <c r="AQ242" i="1"/>
  <c r="AP215" i="1"/>
  <c r="BD298" i="1"/>
  <c r="AR260" i="1"/>
  <c r="AR254" i="1" s="1"/>
  <c r="AR241" i="1"/>
  <c r="BA232" i="1"/>
  <c r="AU166" i="1"/>
  <c r="I92" i="1"/>
  <c r="I95" i="1" s="1"/>
  <c r="AE22" i="1"/>
  <c r="I91" i="1"/>
  <c r="AE21" i="1"/>
  <c r="M97" i="1"/>
  <c r="Q97" i="1" s="1"/>
  <c r="U108" i="1" s="1"/>
  <c r="AE36" i="1"/>
  <c r="E93" i="1"/>
  <c r="AQ243" i="1"/>
  <c r="AQ261" i="1" s="1"/>
  <c r="AP213" i="1"/>
  <c r="AR175" i="1"/>
  <c r="AQ326" i="1"/>
  <c r="AQ320" i="1" s="1"/>
  <c r="AQ307" i="1"/>
  <c r="O131" i="1"/>
  <c r="AB25" i="1"/>
  <c r="M19" i="1"/>
  <c r="Q19" i="1" s="1"/>
  <c r="BA298" i="1"/>
  <c r="AC34" i="1"/>
  <c r="AC54" i="1" s="1"/>
  <c r="M49" i="1"/>
  <c r="Q49" i="1" s="1"/>
  <c r="T106" i="1" s="1"/>
  <c r="E45" i="1"/>
  <c r="I44" i="1"/>
  <c r="I47" i="1" s="1"/>
  <c r="AC22" i="1"/>
  <c r="AR373" i="1"/>
  <c r="AR392" i="1"/>
  <c r="AR386" i="1" s="1"/>
  <c r="I69" i="1"/>
  <c r="I72" i="1" s="1"/>
  <c r="AD23" i="1"/>
  <c r="AR188" i="1"/>
  <c r="P106" i="1"/>
  <c r="H106" i="1" s="1"/>
  <c r="G106" i="1" s="1"/>
  <c r="I22" i="1"/>
  <c r="AQ374" i="1"/>
  <c r="AQ177" i="1"/>
  <c r="AQ195" i="1" s="1"/>
  <c r="AP147" i="1"/>
  <c r="BD232" i="1"/>
  <c r="AB55" i="1"/>
  <c r="AF55" i="1" s="1"/>
  <c r="AF35" i="1"/>
  <c r="Q109" i="1"/>
  <c r="AB26" i="1"/>
  <c r="M20" i="1"/>
  <c r="Q20" i="1" s="1"/>
  <c r="Q18" i="1" l="1"/>
  <c r="Q99" i="1" s="1"/>
  <c r="AB23" i="1"/>
  <c r="AP176" i="1"/>
  <c r="AP194" i="1" s="1"/>
  <c r="AR298" i="1"/>
  <c r="AP309" i="1"/>
  <c r="AP327" i="1" s="1"/>
  <c r="Q124" i="1"/>
  <c r="Q125" i="1"/>
  <c r="N131" i="1"/>
  <c r="R109" i="1"/>
  <c r="N99" i="1"/>
  <c r="M71" i="1"/>
  <c r="Q71" i="1" s="1"/>
  <c r="AD26" i="1"/>
  <c r="AD50" i="1" s="1"/>
  <c r="M68" i="1"/>
  <c r="Q68" i="1" s="1"/>
  <c r="T109" i="1"/>
  <c r="M67" i="1"/>
  <c r="Q67" i="1" s="1"/>
  <c r="AD25" i="1"/>
  <c r="AD49" i="1" s="1"/>
  <c r="AD30" i="1"/>
  <c r="AD57" i="1" s="1"/>
  <c r="AF21" i="1"/>
  <c r="AQ298" i="1"/>
  <c r="AQ271" i="1" s="1"/>
  <c r="AF22" i="1"/>
  <c r="AT308" i="1"/>
  <c r="AT307" i="1" s="1"/>
  <c r="AR364" i="1"/>
  <c r="AR337" i="1" s="1"/>
  <c r="AQ188" i="1"/>
  <c r="AF34" i="1"/>
  <c r="I93" i="1"/>
  <c r="I96" i="1" s="1"/>
  <c r="AE24" i="1"/>
  <c r="AF24" i="1" s="1"/>
  <c r="M95" i="1"/>
  <c r="Q95" i="1" s="1"/>
  <c r="AE31" i="1"/>
  <c r="AE58" i="1" s="1"/>
  <c r="AP326" i="1"/>
  <c r="AB49" i="1"/>
  <c r="AE56" i="1"/>
  <c r="AF56" i="1" s="1"/>
  <c r="AF36" i="1"/>
  <c r="AF54" i="1"/>
  <c r="AB32" i="1"/>
  <c r="M24" i="1"/>
  <c r="Q24" i="1" s="1"/>
  <c r="AS177" i="1"/>
  <c r="AP177" i="1"/>
  <c r="AP195" i="1" s="1"/>
  <c r="M44" i="1"/>
  <c r="Q44" i="1" s="1"/>
  <c r="AC26" i="1"/>
  <c r="AC50" i="1" s="1"/>
  <c r="AT175" i="1"/>
  <c r="AT194" i="1"/>
  <c r="AT188" i="1" s="1"/>
  <c r="AB58" i="1"/>
  <c r="AC31" i="1"/>
  <c r="AC58" i="1" s="1"/>
  <c r="M47" i="1"/>
  <c r="Q47" i="1" s="1"/>
  <c r="U109" i="1"/>
  <c r="AB50" i="1"/>
  <c r="AB27" i="1"/>
  <c r="M21" i="1"/>
  <c r="Q21" i="1" s="1"/>
  <c r="N105" i="1" s="1"/>
  <c r="I45" i="1"/>
  <c r="I48" i="1" s="1"/>
  <c r="AC23" i="1"/>
  <c r="M91" i="1"/>
  <c r="Q91" i="1" s="1"/>
  <c r="AE25" i="1"/>
  <c r="AE49" i="1" s="1"/>
  <c r="AP242" i="1"/>
  <c r="AT242" i="1"/>
  <c r="AQ175" i="1"/>
  <c r="AS327" i="1"/>
  <c r="AS320" i="1" s="1"/>
  <c r="AS307" i="1"/>
  <c r="AP374" i="1"/>
  <c r="AT374" i="1"/>
  <c r="M69" i="1"/>
  <c r="Q69" i="1" s="1"/>
  <c r="AD27" i="1"/>
  <c r="AD51" i="1" s="1"/>
  <c r="AR166" i="1"/>
  <c r="AR139" i="1" s="1"/>
  <c r="I94" i="1"/>
  <c r="AR232" i="1"/>
  <c r="AR205" i="1" s="1"/>
  <c r="AQ241" i="1"/>
  <c r="AQ260" i="1"/>
  <c r="AQ254" i="1" s="1"/>
  <c r="AC25" i="1"/>
  <c r="AC49" i="1" s="1"/>
  <c r="M43" i="1"/>
  <c r="Q43" i="1" s="1"/>
  <c r="AS375" i="1"/>
  <c r="AP375" i="1"/>
  <c r="AP393" i="1" s="1"/>
  <c r="P109" i="1"/>
  <c r="H109" i="1" s="1"/>
  <c r="G109" i="1" s="1"/>
  <c r="H105" i="1"/>
  <c r="G105" i="1" s="1"/>
  <c r="AQ373" i="1"/>
  <c r="AQ392" i="1"/>
  <c r="AQ386" i="1" s="1"/>
  <c r="M72" i="1"/>
  <c r="Q72" i="1" s="1"/>
  <c r="AD32" i="1"/>
  <c r="AD59" i="1" s="1"/>
  <c r="AS243" i="1"/>
  <c r="AP243" i="1"/>
  <c r="AP261" i="1" s="1"/>
  <c r="M22" i="1"/>
  <c r="Q22" i="1" s="1"/>
  <c r="AB30" i="1"/>
  <c r="M92" i="1"/>
  <c r="Q92" i="1" s="1"/>
  <c r="AE26" i="1"/>
  <c r="AE50" i="1" s="1"/>
  <c r="I46" i="1"/>
  <c r="AR271" i="1" l="1"/>
  <c r="AU283" i="1" s="1"/>
  <c r="AF23" i="1"/>
  <c r="AP320" i="1"/>
  <c r="AP307" i="1"/>
  <c r="AP298" i="1" s="1"/>
  <c r="AT326" i="1"/>
  <c r="AT320" i="1" s="1"/>
  <c r="AT298" i="1" s="1"/>
  <c r="AU342" i="1"/>
  <c r="Q131" i="1"/>
  <c r="Y107" i="1"/>
  <c r="S107" i="1" s="1"/>
  <c r="N107" i="1"/>
  <c r="L107" i="1" s="1"/>
  <c r="Y105" i="1"/>
  <c r="AC105" i="1" s="1"/>
  <c r="AQ166" i="1"/>
  <c r="AP175" i="1"/>
  <c r="AS298" i="1"/>
  <c r="AP188" i="1"/>
  <c r="L105" i="1"/>
  <c r="AT373" i="1"/>
  <c r="AT392" i="1"/>
  <c r="AT386" i="1" s="1"/>
  <c r="AQ364" i="1"/>
  <c r="AQ337" i="1" s="1"/>
  <c r="AQ232" i="1"/>
  <c r="AQ205" i="1" s="1"/>
  <c r="AP205" i="1" s="1"/>
  <c r="AP392" i="1"/>
  <c r="AP386" i="1" s="1"/>
  <c r="AP373" i="1"/>
  <c r="AT260" i="1"/>
  <c r="AT254" i="1" s="1"/>
  <c r="AT241" i="1"/>
  <c r="AB51" i="1"/>
  <c r="AF31" i="1"/>
  <c r="AB57" i="1"/>
  <c r="AU210" i="1"/>
  <c r="AU226" i="1"/>
  <c r="AU228" i="1"/>
  <c r="AU208" i="1"/>
  <c r="AU209" i="1"/>
  <c r="AU227" i="1"/>
  <c r="AU206" i="1"/>
  <c r="AU222" i="1"/>
  <c r="AU220" i="1"/>
  <c r="AU218" i="1"/>
  <c r="AU217" i="1"/>
  <c r="AU214" i="1"/>
  <c r="AR204" i="1"/>
  <c r="AR230" i="1" s="1"/>
  <c r="AU223" i="1"/>
  <c r="AU221" i="1"/>
  <c r="AU219" i="1"/>
  <c r="AU216" i="1"/>
  <c r="AP241" i="1"/>
  <c r="AP260" i="1"/>
  <c r="AP254" i="1" s="1"/>
  <c r="AF50" i="1"/>
  <c r="AF58" i="1"/>
  <c r="AF25" i="1"/>
  <c r="M96" i="1"/>
  <c r="Q96" i="1" s="1"/>
  <c r="AE33" i="1"/>
  <c r="AF33" i="1" s="1"/>
  <c r="M94" i="1"/>
  <c r="Q94" i="1" s="1"/>
  <c r="AE30" i="1"/>
  <c r="AE57" i="1" s="1"/>
  <c r="AF26" i="1"/>
  <c r="AS195" i="1"/>
  <c r="AS188" i="1" s="1"/>
  <c r="AS175" i="1"/>
  <c r="AF49" i="1"/>
  <c r="M93" i="1"/>
  <c r="Q93" i="1" s="1"/>
  <c r="N108" i="1" s="1"/>
  <c r="L108" i="1" s="1"/>
  <c r="AE28" i="1"/>
  <c r="AU144" i="1"/>
  <c r="AU143" i="1"/>
  <c r="AU162" i="1"/>
  <c r="AU142" i="1"/>
  <c r="AU160" i="1"/>
  <c r="AU161" i="1"/>
  <c r="AR138" i="1"/>
  <c r="AR164" i="1" s="1"/>
  <c r="AU157" i="1"/>
  <c r="AU151" i="1"/>
  <c r="AU153" i="1"/>
  <c r="AU148" i="1"/>
  <c r="AU155" i="1"/>
  <c r="AU154" i="1"/>
  <c r="AU156" i="1"/>
  <c r="AU150" i="1"/>
  <c r="AU152" i="1"/>
  <c r="AU140" i="1"/>
  <c r="AT166" i="1"/>
  <c r="AU149" i="1" s="1"/>
  <c r="AC30" i="1"/>
  <c r="AC57" i="1" s="1"/>
  <c r="M46" i="1"/>
  <c r="Q46" i="1" s="1"/>
  <c r="AS261" i="1"/>
  <c r="AS254" i="1" s="1"/>
  <c r="AS241" i="1"/>
  <c r="AS393" i="1"/>
  <c r="AS386" i="1" s="1"/>
  <c r="AS373" i="1"/>
  <c r="M48" i="1"/>
  <c r="Q48" i="1" s="1"/>
  <c r="AC32" i="1"/>
  <c r="AC59" i="1" s="1"/>
  <c r="AB59" i="1"/>
  <c r="M45" i="1"/>
  <c r="Q45" i="1" s="1"/>
  <c r="N106" i="1" s="1"/>
  <c r="AC27" i="1"/>
  <c r="AC51" i="1" s="1"/>
  <c r="AU272" i="1" l="1"/>
  <c r="AU288" i="1"/>
  <c r="AU294" i="1"/>
  <c r="AU293" i="1"/>
  <c r="AU286" i="1"/>
  <c r="AU279" i="1"/>
  <c r="AU282" i="1"/>
  <c r="AU275" i="1"/>
  <c r="AU285" i="1"/>
  <c r="AU276" i="1"/>
  <c r="AU274" i="1"/>
  <c r="AU289" i="1"/>
  <c r="AU284" i="1"/>
  <c r="AU287" i="1"/>
  <c r="AU292" i="1"/>
  <c r="AR270" i="1"/>
  <c r="AR296" i="1" s="1"/>
  <c r="AU280" i="1"/>
  <c r="AP271" i="1"/>
  <c r="AP270" i="1" s="1"/>
  <c r="AP296" i="1" s="1"/>
  <c r="AQ139" i="1"/>
  <c r="AP139" i="1" s="1"/>
  <c r="AP337" i="1"/>
  <c r="AT293" i="1"/>
  <c r="AS166" i="1"/>
  <c r="AU147" i="1" s="1"/>
  <c r="AX138" i="1" s="1"/>
  <c r="AP166" i="1"/>
  <c r="AU359" i="1"/>
  <c r="AT279" i="1"/>
  <c r="AU358" i="1"/>
  <c r="AU341" i="1"/>
  <c r="AT292" i="1"/>
  <c r="AT280" i="1"/>
  <c r="AT283" i="1"/>
  <c r="AT282" i="1"/>
  <c r="AT288" i="1"/>
  <c r="AQ270" i="1"/>
  <c r="AQ296" i="1" s="1"/>
  <c r="AT289" i="1"/>
  <c r="AT294" i="1"/>
  <c r="AT284" i="1"/>
  <c r="AT274" i="1"/>
  <c r="AT286" i="1"/>
  <c r="AT276" i="1"/>
  <c r="AT287" i="1"/>
  <c r="AT285" i="1"/>
  <c r="AT275" i="1"/>
  <c r="AU360" i="1"/>
  <c r="AT272" i="1"/>
  <c r="AC107" i="1"/>
  <c r="O107" i="1" s="1"/>
  <c r="E107" i="1" s="1"/>
  <c r="S105" i="1"/>
  <c r="O105" i="1" s="1"/>
  <c r="C105" i="1" s="1"/>
  <c r="AF59" i="1"/>
  <c r="AT364" i="1"/>
  <c r="AF32" i="1"/>
  <c r="Y106" i="1"/>
  <c r="S106" i="1" s="1"/>
  <c r="AP364" i="1"/>
  <c r="AP232" i="1"/>
  <c r="AU281" i="1"/>
  <c r="AT281" i="1"/>
  <c r="L106" i="1"/>
  <c r="L109" i="1" s="1"/>
  <c r="N109" i="1"/>
  <c r="AF57" i="1"/>
  <c r="AE52" i="1"/>
  <c r="AF52" i="1" s="1"/>
  <c r="AF28" i="1"/>
  <c r="AF30" i="1"/>
  <c r="AT220" i="1"/>
  <c r="AT228" i="1"/>
  <c r="AT217" i="1"/>
  <c r="AT206" i="1"/>
  <c r="AT222" i="1"/>
  <c r="AQ204" i="1"/>
  <c r="AQ230" i="1" s="1"/>
  <c r="AT210" i="1"/>
  <c r="AT218" i="1"/>
  <c r="AT214" i="1"/>
  <c r="AT223" i="1"/>
  <c r="AT216" i="1"/>
  <c r="AT227" i="1"/>
  <c r="AT219" i="1"/>
  <c r="AT208" i="1"/>
  <c r="AT221" i="1"/>
  <c r="AT226" i="1"/>
  <c r="AT209" i="1"/>
  <c r="Y108" i="1"/>
  <c r="AT342" i="1"/>
  <c r="AT358" i="1"/>
  <c r="AT359" i="1"/>
  <c r="AT341" i="1"/>
  <c r="AT360" i="1"/>
  <c r="AS364" i="1"/>
  <c r="AF27" i="1"/>
  <c r="AF51" i="1"/>
  <c r="AS232" i="1"/>
  <c r="AU213" i="1" s="1"/>
  <c r="AT232" i="1"/>
  <c r="AU215" i="1" s="1"/>
  <c r="AX270" i="1" l="1"/>
  <c r="AT140" i="1"/>
  <c r="AT149" i="1"/>
  <c r="AT150" i="1"/>
  <c r="AT148" i="1"/>
  <c r="AT153" i="1"/>
  <c r="AT155" i="1"/>
  <c r="AT152" i="1"/>
  <c r="AT143" i="1"/>
  <c r="AT160" i="1"/>
  <c r="AS148" i="1"/>
  <c r="AT162" i="1"/>
  <c r="AQ138" i="1"/>
  <c r="AQ164" i="1" s="1"/>
  <c r="AT156" i="1"/>
  <c r="AT142" i="1"/>
  <c r="AT154" i="1"/>
  <c r="AT161" i="1"/>
  <c r="AT157" i="1"/>
  <c r="AT151" i="1"/>
  <c r="AT144" i="1"/>
  <c r="AS288" i="1"/>
  <c r="AS292" i="1"/>
  <c r="AS283" i="1"/>
  <c r="AS293" i="1"/>
  <c r="AS282" i="1"/>
  <c r="AT147" i="1"/>
  <c r="D107" i="1"/>
  <c r="F107" i="1"/>
  <c r="AS154" i="1"/>
  <c r="AS280" i="1"/>
  <c r="AS275" i="1"/>
  <c r="AS286" i="1"/>
  <c r="AS274" i="1"/>
  <c r="AS284" i="1"/>
  <c r="AS294" i="1"/>
  <c r="AS279" i="1"/>
  <c r="AS287" i="1"/>
  <c r="AS289" i="1"/>
  <c r="AS281" i="1"/>
  <c r="AS276" i="1"/>
  <c r="AS272" i="1"/>
  <c r="AS285" i="1"/>
  <c r="A63" i="1"/>
  <c r="AS144" i="1"/>
  <c r="AW270" i="1"/>
  <c r="AS157" i="1"/>
  <c r="AS142" i="1"/>
  <c r="AS149" i="1"/>
  <c r="AS143" i="1"/>
  <c r="AS140" i="1"/>
  <c r="AS147" i="1"/>
  <c r="AS151" i="1"/>
  <c r="AS150" i="1"/>
  <c r="AS153" i="1"/>
  <c r="AS152" i="1"/>
  <c r="AS156" i="1"/>
  <c r="AS160" i="1"/>
  <c r="AS161" i="1"/>
  <c r="AP138" i="1"/>
  <c r="AP164" i="1" s="1"/>
  <c r="W3" i="1" s="1"/>
  <c r="V3" i="1" s="1"/>
  <c r="AS162" i="1"/>
  <c r="A15" i="1"/>
  <c r="AS155" i="1"/>
  <c r="AS228" i="1"/>
  <c r="AS358" i="1"/>
  <c r="AC106" i="1"/>
  <c r="O106" i="1" s="1"/>
  <c r="E106" i="1" s="1"/>
  <c r="D106" i="1" s="1"/>
  <c r="Y109" i="1"/>
  <c r="AX204" i="1"/>
  <c r="AS342" i="1"/>
  <c r="AS359" i="1"/>
  <c r="AS341" i="1"/>
  <c r="AS360" i="1"/>
  <c r="A87" i="1"/>
  <c r="E105" i="1"/>
  <c r="AT215" i="1"/>
  <c r="AT213" i="1"/>
  <c r="C107" i="1"/>
  <c r="A61" i="1" s="1"/>
  <c r="AC108" i="1"/>
  <c r="S108" i="1"/>
  <c r="S109" i="1" s="1"/>
  <c r="W5" i="1"/>
  <c r="AN296" i="1"/>
  <c r="A57" i="1"/>
  <c r="A13" i="1"/>
  <c r="AW138" i="1" l="1"/>
  <c r="AS218" i="1"/>
  <c r="AS213" i="1"/>
  <c r="AV270" i="1"/>
  <c r="AS215" i="1"/>
  <c r="AP204" i="1"/>
  <c r="AN230" i="1" s="1"/>
  <c r="AS214" i="1"/>
  <c r="AS217" i="1"/>
  <c r="AS206" i="1"/>
  <c r="AS216" i="1"/>
  <c r="AS221" i="1"/>
  <c r="A39" i="1"/>
  <c r="AS219" i="1"/>
  <c r="AS227" i="1"/>
  <c r="AS209" i="1"/>
  <c r="U3" i="1"/>
  <c r="AV138" i="1"/>
  <c r="AN164" i="1"/>
  <c r="A9" i="1"/>
  <c r="AS208" i="1"/>
  <c r="AS220" i="1"/>
  <c r="AS223" i="1"/>
  <c r="AS222" i="1"/>
  <c r="AS210" i="1"/>
  <c r="AS226" i="1"/>
  <c r="F106" i="1"/>
  <c r="C106" i="1"/>
  <c r="A37" i="1" s="1"/>
  <c r="AW204" i="1"/>
  <c r="V5" i="1"/>
  <c r="U5" i="1"/>
  <c r="O108" i="1"/>
  <c r="E108" i="1" s="1"/>
  <c r="AC109" i="1"/>
  <c r="D105" i="1"/>
  <c r="F105" i="1"/>
  <c r="AP230" i="1" l="1"/>
  <c r="W4" i="1" s="1"/>
  <c r="U4" i="1" s="1"/>
  <c r="A33" i="1"/>
  <c r="D108" i="1"/>
  <c r="F108" i="1"/>
  <c r="AV204" i="1"/>
  <c r="C108" i="1"/>
  <c r="O109" i="1"/>
  <c r="E109" i="1" s="1"/>
  <c r="V4" i="1" l="1"/>
  <c r="D109" i="1"/>
  <c r="F109" i="1"/>
  <c r="A85" i="1"/>
  <c r="C109" i="1"/>
  <c r="R2" i="1" s="1"/>
  <c r="AP356" i="1" l="1"/>
  <c r="AT340" i="1"/>
  <c r="AU340" i="1"/>
  <c r="AP340" i="1" l="1"/>
  <c r="AS340" i="1" s="1"/>
  <c r="AQ338" i="1"/>
  <c r="AR338" i="1"/>
  <c r="AU349" i="1" l="1"/>
  <c r="AU338" i="1"/>
  <c r="AU352" i="1"/>
  <c r="AU345" i="1"/>
  <c r="AR336" i="1"/>
  <c r="AR362" i="1" s="1"/>
  <c r="AU350" i="1"/>
  <c r="AU355" i="1"/>
  <c r="AU351" i="1"/>
  <c r="AU346" i="1"/>
  <c r="AU354" i="1"/>
  <c r="AU353" i="1"/>
  <c r="AU347" i="1"/>
  <c r="AU348" i="1"/>
  <c r="AT338" i="1"/>
  <c r="AQ336" i="1"/>
  <c r="AQ362" i="1" s="1"/>
  <c r="AT348" i="1"/>
  <c r="AT345" i="1"/>
  <c r="AT353" i="1"/>
  <c r="AT347" i="1"/>
  <c r="AT352" i="1"/>
  <c r="AT346" i="1"/>
  <c r="AT349" i="1"/>
  <c r="AP338" i="1"/>
  <c r="AT351" i="1"/>
  <c r="AT350" i="1"/>
  <c r="AT355" i="1"/>
  <c r="AT354" i="1"/>
  <c r="AW336" i="1" l="1"/>
  <c r="AX336" i="1"/>
  <c r="AS348" i="1"/>
  <c r="AS353" i="1"/>
  <c r="AS351" i="1"/>
  <c r="AS346" i="1"/>
  <c r="AS355" i="1"/>
  <c r="AS349" i="1"/>
  <c r="AS350" i="1"/>
  <c r="AP336" i="1"/>
  <c r="AP362" i="1" s="1"/>
  <c r="AS347" i="1"/>
  <c r="AS352" i="1"/>
  <c r="A89" i="1"/>
  <c r="AS345" i="1"/>
  <c r="AS338" i="1"/>
  <c r="AS354" i="1"/>
  <c r="AV336" i="1" l="1"/>
  <c r="A81" i="1"/>
  <c r="AN362" i="1"/>
  <c r="W6" i="1"/>
  <c r="U6" i="1" l="1"/>
  <c r="V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罗雄元</author>
    <author>yang</author>
  </authors>
  <commentList>
    <comment ref="H22" authorId="0" shapeId="0" xr:uid="{2995F646-E2C2-4772-A01E-633A2F0F5A5B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23" authorId="0" shapeId="0" xr:uid="{5EAA781E-7E4A-4BED-B96D-EBDCE9A2D4DB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46" authorId="0" shapeId="0" xr:uid="{8F623E91-1888-4F22-BBA2-6C5D552393BD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47" authorId="0" shapeId="0" xr:uid="{8445AEF0-30EF-4E5F-AF45-4460E6042351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70" authorId="0" shapeId="0" xr:uid="{BB6B7776-68BE-441A-ADD1-8D9286515739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71" authorId="0" shapeId="0" xr:uid="{91A08F63-8725-4919-B02A-5CB76B4731E4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94" authorId="0" shapeId="0" xr:uid="{74D072A9-DC94-4D51-8AB2-C8D1FD08B2EA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H95" authorId="0" shapeId="0" xr:uid="{62F5572B-A6F3-4501-A327-570DA754AACD}">
      <text>
        <r>
          <rPr>
            <b/>
            <sz val="9"/>
            <rFont val="宋体"/>
            <family val="3"/>
            <charset val="134"/>
          </rPr>
          <t>含调湿水分重量</t>
        </r>
      </text>
    </comment>
    <comment ref="AC103" authorId="1" shapeId="0" xr:uid="{BE287DC0-7390-4361-8775-B175DCCB1F56}">
      <text>
        <r>
          <rPr>
            <sz val="9"/>
            <rFont val="宋体"/>
            <family val="3"/>
            <charset val="134"/>
          </rPr>
          <t>营业成本中剔除人工成本、直接材料、折旧摊销、上交管理费</t>
        </r>
      </text>
    </comment>
    <comment ref="AD103" authorId="1" shapeId="0" xr:uid="{E1E03836-332F-4089-BA96-ED1BD72B0429}">
      <text>
        <r>
          <rPr>
            <sz val="9"/>
            <rFont val="宋体"/>
            <family val="3"/>
            <charset val="134"/>
          </rPr>
          <t xml:space="preserve">管理费用剔除人工成本、折旧摊销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<sst xmlns="http://schemas.openxmlformats.org/spreadsheetml/2006/main" count="1186" uniqueCount="375">
  <si>
    <t>利润（万元）</t>
  </si>
  <si>
    <r>
      <rPr>
        <sz val="20"/>
        <color theme="1"/>
        <rFont val="微软雅黑"/>
        <family val="2"/>
        <charset val="134"/>
      </rPr>
      <t>边际条件设定</t>
    </r>
    <r>
      <rPr>
        <b/>
        <sz val="16"/>
        <color rgb="FFFF0000"/>
        <rFont val="微软雅黑"/>
        <family val="2"/>
        <charset val="134"/>
      </rPr>
      <t>（必填项*）</t>
    </r>
  </si>
  <si>
    <t>注意：此列往右禁止删除列</t>
  </si>
  <si>
    <t>单位</t>
  </si>
  <si>
    <t>煤种</t>
  </si>
  <si>
    <t>热值</t>
  </si>
  <si>
    <t>单价</t>
  </si>
  <si>
    <t>价格
(元/吨)</t>
  </si>
  <si>
    <t>水分%</t>
  </si>
  <si>
    <t>灰分%</t>
  </si>
  <si>
    <t>硫分%</t>
  </si>
  <si>
    <t>挥发分%</t>
  </si>
  <si>
    <t>配煤比例</t>
  </si>
  <si>
    <t>规划用量</t>
  </si>
  <si>
    <t>可用量</t>
  </si>
  <si>
    <t>最低用量</t>
  </si>
  <si>
    <t>不含运费金额</t>
  </si>
  <si>
    <t>运费</t>
  </si>
  <si>
    <t>运费单价（元/吨）</t>
  </si>
  <si>
    <t>总金额</t>
  </si>
  <si>
    <t>项目</t>
  </si>
  <si>
    <t>规划后值</t>
  </si>
  <si>
    <t>边际上限</t>
  </si>
  <si>
    <t>边际下限</t>
  </si>
  <si>
    <t>边际相等</t>
  </si>
  <si>
    <t>百矿</t>
  </si>
  <si>
    <t>原煤量</t>
  </si>
  <si>
    <t>用量</t>
  </si>
  <si>
    <t>金额</t>
  </si>
  <si>
    <t>发电量</t>
  </si>
  <si>
    <t>内购煤</t>
  </si>
  <si>
    <t>外购煤</t>
  </si>
  <si>
    <t>综合厂用电率</t>
  </si>
  <si>
    <t>合计</t>
  </si>
  <si>
    <t>配煤热值</t>
  </si>
  <si>
    <t>发电标煤耗</t>
  </si>
  <si>
    <t>德保</t>
  </si>
  <si>
    <t>自产比例（%）</t>
  </si>
  <si>
    <t>银海</t>
  </si>
  <si>
    <t>锅炉效率（%）</t>
  </si>
  <si>
    <t>田东</t>
  </si>
  <si>
    <t>矸石退税</t>
  </si>
  <si>
    <t>汽机热耗率</t>
  </si>
  <si>
    <t>业务部</t>
  </si>
  <si>
    <t>加权平均</t>
  </si>
  <si>
    <t>炉灰占比%</t>
  </si>
  <si>
    <t>炉灰产量（万吨）</t>
  </si>
  <si>
    <t>炉灰销售%</t>
  </si>
  <si>
    <t>炉灰销量（万吨）</t>
  </si>
  <si>
    <t>炉灰价格（元/吨）</t>
  </si>
  <si>
    <t>炉灰收入（万元）</t>
  </si>
  <si>
    <t>炉灰税率%</t>
  </si>
  <si>
    <t>税后金额（万元）</t>
  </si>
  <si>
    <t>入炉煤量（t/h）</t>
  </si>
  <si>
    <t>炉渣占比%</t>
  </si>
  <si>
    <t>炉渣产量（万吨）</t>
  </si>
  <si>
    <t>炉渣销售%</t>
  </si>
  <si>
    <t>炉渣销量（万吨）</t>
  </si>
  <si>
    <t>炉渣价格（元/吨）</t>
  </si>
  <si>
    <t>炉渣收入（万元）</t>
  </si>
  <si>
    <t>炉渣税率%</t>
  </si>
  <si>
    <t>钙硫比</t>
  </si>
  <si>
    <t>石膏产量（万吨）</t>
  </si>
  <si>
    <t>石膏销售%</t>
  </si>
  <si>
    <t>石膏销量（万吨）</t>
  </si>
  <si>
    <t>石膏价格（元/吨）</t>
  </si>
  <si>
    <t>石膏收入（万元）</t>
  </si>
  <si>
    <t>硫酸铵税率%</t>
  </si>
  <si>
    <t>炉灰产量</t>
  </si>
  <si>
    <t>万吨</t>
  </si>
  <si>
    <t>石膏石粉比</t>
  </si>
  <si>
    <t>销售蒸汽（万吨）</t>
  </si>
  <si>
    <t>炉灰调湿比例%</t>
  </si>
  <si>
    <t>炉灰倒运量（万吨）</t>
  </si>
  <si>
    <t>炉灰倒运单价（元/吨）</t>
  </si>
  <si>
    <t>炉灰倒运费（万元）</t>
  </si>
  <si>
    <t>炉灰倒运税率%</t>
  </si>
  <si>
    <t>炉渣产量</t>
  </si>
  <si>
    <t>蒸汽单价（元/吨）</t>
  </si>
  <si>
    <t>炉渣调湿比例%</t>
  </si>
  <si>
    <t>炉渣倒运量（万吨）</t>
  </si>
  <si>
    <t>炉渣倒运单价（元/吨）</t>
  </si>
  <si>
    <t>炉渣倒运费（万元）</t>
  </si>
  <si>
    <t>炉渣倒运税率%</t>
  </si>
  <si>
    <t>石膏产量</t>
  </si>
  <si>
    <t>蒸汽收入（万元）</t>
  </si>
  <si>
    <t>石膏倒运量（万吨）</t>
  </si>
  <si>
    <t>石膏倒运单价（元/吨）</t>
  </si>
  <si>
    <t>石膏倒运费（万元）</t>
  </si>
  <si>
    <t>石膏运税率%</t>
  </si>
  <si>
    <t>硫酸铵产量</t>
  </si>
  <si>
    <t>税率%</t>
  </si>
  <si>
    <t>石粉耗用（万吨）</t>
  </si>
  <si>
    <t>石粉单价（元/吨）</t>
  </si>
  <si>
    <t>石粉费用（万元）</t>
  </si>
  <si>
    <t>石粉税率%</t>
  </si>
  <si>
    <t>炉灰销量</t>
  </si>
  <si>
    <t>税后蒸汽收入（万元）</t>
  </si>
  <si>
    <t>尿素耗用（万吨）</t>
  </si>
  <si>
    <t>尿素单价（元/吨）</t>
  </si>
  <si>
    <t>尿素费用（万元）</t>
  </si>
  <si>
    <t>尿素税率%</t>
  </si>
  <si>
    <t>炉渣销量</t>
  </si>
  <si>
    <t>东怀</t>
  </si>
  <si>
    <t>石膏销量</t>
  </si>
  <si>
    <t>跃进</t>
  </si>
  <si>
    <t>硫酸铵销量</t>
  </si>
  <si>
    <t>州景</t>
  </si>
  <si>
    <t>蒸汽销量</t>
  </si>
  <si>
    <t>那荷</t>
  </si>
  <si>
    <t>炉灰倒运量</t>
  </si>
  <si>
    <t>炉渣倒运量</t>
  </si>
  <si>
    <t>石膏倒运量</t>
  </si>
  <si>
    <t>硫酸铵库存</t>
  </si>
  <si>
    <t>石粉耗用量</t>
  </si>
  <si>
    <t>尿素耗用量</t>
  </si>
  <si>
    <t>液氨耗用量</t>
  </si>
  <si>
    <t>炉灰价格</t>
  </si>
  <si>
    <t>元/吨</t>
  </si>
  <si>
    <t>炉渣价格</t>
  </si>
  <si>
    <t>石膏价格</t>
  </si>
  <si>
    <t>硫酸铵价格</t>
  </si>
  <si>
    <t>蒸汽价格</t>
  </si>
  <si>
    <t>炉灰倒运单价</t>
  </si>
  <si>
    <t>炉渣倒运单价</t>
  </si>
  <si>
    <t>石膏倒运单价</t>
  </si>
  <si>
    <t>副产品参数设置</t>
  </si>
  <si>
    <t>硫酸铵倒运单价</t>
  </si>
  <si>
    <t>石粉单价</t>
  </si>
  <si>
    <t>尿素单价</t>
  </si>
  <si>
    <t>液氨单价</t>
  </si>
  <si>
    <t>钙硫比/氨硫比</t>
  </si>
  <si>
    <t>炉灰收入</t>
  </si>
  <si>
    <t>万元</t>
  </si>
  <si>
    <t>石膏石粉比（硫铵比）</t>
  </si>
  <si>
    <t>炉渣收入</t>
  </si>
  <si>
    <t>石膏收入</t>
  </si>
  <si>
    <t>硫酸铵收入</t>
  </si>
  <si>
    <t>蒸汽收入</t>
  </si>
  <si>
    <t>石粉成本</t>
  </si>
  <si>
    <t>尿素成本</t>
  </si>
  <si>
    <t>液氨成本</t>
  </si>
  <si>
    <t>炉灰倒运费</t>
  </si>
  <si>
    <t>炉渣倒运费</t>
  </si>
  <si>
    <t>石膏倒运费</t>
  </si>
  <si>
    <t>石粉/液氨单价（元/吨）</t>
  </si>
  <si>
    <t>石油焦燃烬率%</t>
  </si>
  <si>
    <t>氨硫比</t>
  </si>
  <si>
    <t>硫酸铵产量（万吨）</t>
  </si>
  <si>
    <t>硫酸铵销售%</t>
  </si>
  <si>
    <t>硫酸铵销量（万吨）</t>
  </si>
  <si>
    <t>硫酸铵价格（元/吨）</t>
  </si>
  <si>
    <t>硫酸铵收入（万元）</t>
  </si>
  <si>
    <t>硫酸铵液氨比</t>
  </si>
  <si>
    <t>硫酸铵倒运量（万吨）</t>
  </si>
  <si>
    <t>硫酸铵倒运单价（元/吨）</t>
  </si>
  <si>
    <t>硫酸铵倒运费（万元）</t>
  </si>
  <si>
    <t>硫酸铵倒运税率%</t>
  </si>
  <si>
    <t>液氨耗用（万吨）</t>
  </si>
  <si>
    <t>液氨单价（元/吨）</t>
  </si>
  <si>
    <t>液氨费用（万元）</t>
  </si>
  <si>
    <t>液氨税率%</t>
  </si>
  <si>
    <t>四厂</t>
  </si>
  <si>
    <t>利润</t>
  </si>
  <si>
    <t>综合单位成本</t>
  </si>
  <si>
    <t>上网电量</t>
  </si>
  <si>
    <t>厂用电率</t>
  </si>
  <si>
    <t>售电单价</t>
  </si>
  <si>
    <t>营业收入</t>
  </si>
  <si>
    <t>经营成本</t>
  </si>
  <si>
    <t>其他</t>
  </si>
  <si>
    <t>煤炭成本</t>
  </si>
  <si>
    <t>售电收入</t>
  </si>
  <si>
    <t>副产品收入</t>
  </si>
  <si>
    <t xml:space="preserve">变动成本 </t>
  </si>
  <si>
    <t>固定费用</t>
  </si>
  <si>
    <t>含税</t>
  </si>
  <si>
    <t>不含税</t>
  </si>
  <si>
    <t>/</t>
  </si>
  <si>
    <t>煤炭小计</t>
  </si>
  <si>
    <t>自产煤</t>
  </si>
  <si>
    <t>辅料小计</t>
  </si>
  <si>
    <t>石粉</t>
  </si>
  <si>
    <t>液氨</t>
  </si>
  <si>
    <t>尿素</t>
  </si>
  <si>
    <t>柴油</t>
  </si>
  <si>
    <t>天然气</t>
  </si>
  <si>
    <t>倒运费</t>
  </si>
  <si>
    <t>辅助材料</t>
  </si>
  <si>
    <t>备品备件</t>
  </si>
  <si>
    <t>修理费</t>
  </si>
  <si>
    <t>其他营业成</t>
  </si>
  <si>
    <t>管理费用</t>
  </si>
  <si>
    <t>人工成本</t>
  </si>
  <si>
    <t>折旧摊销</t>
  </si>
  <si>
    <t>财务费用</t>
  </si>
  <si>
    <t>税金及附加</t>
  </si>
  <si>
    <t>上交管理费</t>
  </si>
  <si>
    <t>万度</t>
  </si>
  <si>
    <t>元/度</t>
  </si>
  <si>
    <t>%</t>
  </si>
  <si>
    <t>百矿发电</t>
  </si>
  <si>
    <t>德保电厂</t>
  </si>
  <si>
    <t>银海发电</t>
  </si>
  <si>
    <t>田东电厂</t>
  </si>
  <si>
    <t>四厂合计</t>
  </si>
  <si>
    <t>剩余量</t>
  </si>
  <si>
    <t>百矿用量（万吨）</t>
  </si>
  <si>
    <t>德保用量（万吨）</t>
  </si>
  <si>
    <t>银海用量（万吨）</t>
  </si>
  <si>
    <t>田东用量（万吨）</t>
  </si>
  <si>
    <t>上月库存</t>
  </si>
  <si>
    <t>本月计划</t>
  </si>
  <si>
    <t>坑口价</t>
  </si>
  <si>
    <t>田阳运费单价</t>
  </si>
  <si>
    <t>德保运费单价</t>
  </si>
  <si>
    <t>田东运费单价</t>
  </si>
  <si>
    <t>注意此行以下禁止删除行</t>
  </si>
  <si>
    <t>百矿电厂</t>
  </si>
  <si>
    <t>设计项目</t>
  </si>
  <si>
    <t>设计值</t>
  </si>
  <si>
    <t>实际项目</t>
  </si>
  <si>
    <t>平均值</t>
  </si>
  <si>
    <t>#1机组实际值</t>
  </si>
  <si>
    <t>#2机组实际值</t>
  </si>
  <si>
    <t>平均影响效率/煤耗</t>
  </si>
  <si>
    <t>#1机组影响效率/煤耗</t>
  </si>
  <si>
    <t>#2机组影响效率/煤耗</t>
  </si>
  <si>
    <t>设计发电煤耗</t>
  </si>
  <si>
    <t>实际发电煤耗</t>
  </si>
  <si>
    <t>设计锅炉效率</t>
  </si>
  <si>
    <t>实际计算锅炉效率</t>
  </si>
  <si>
    <t>设计汽机热耗率</t>
  </si>
  <si>
    <t>实际计算汽机热耗率</t>
  </si>
  <si>
    <t>设计管道效率</t>
  </si>
  <si>
    <t>实际管道效率</t>
  </si>
  <si>
    <t>设计背压（kPa）</t>
  </si>
  <si>
    <t>实际背压（kPa）</t>
  </si>
  <si>
    <t>设计发电额定功率（MW)</t>
  </si>
  <si>
    <t>平均发电额定功率（MW)</t>
  </si>
  <si>
    <t>热力试验修正后热耗率</t>
  </si>
  <si>
    <t>设计发电量（万度）</t>
  </si>
  <si>
    <t>实际发电量（万度）</t>
  </si>
  <si>
    <t>设计利用小时数</t>
  </si>
  <si>
    <t>实际运行小时数</t>
  </si>
  <si>
    <t>设计煤热值（大卡）</t>
  </si>
  <si>
    <t>实际煤热值（大卡）</t>
  </si>
  <si>
    <t>设计煤水分（%）</t>
  </si>
  <si>
    <t>实际煤水分（%）</t>
  </si>
  <si>
    <t>设计煤灰分（%）</t>
  </si>
  <si>
    <t>实际煤灰分（%）</t>
  </si>
  <si>
    <t>设计飞灰可燃物（%）</t>
  </si>
  <si>
    <t>实际飞灰可燃物（%）</t>
  </si>
  <si>
    <t>设计炉渣可燃物（%）</t>
  </si>
  <si>
    <t>实际炉渣可燃物（%）</t>
  </si>
  <si>
    <t>设计排烟温度（℃）</t>
  </si>
  <si>
    <t>实际排烟温度（℃）</t>
  </si>
  <si>
    <t>设计送风机入口温度（℃）</t>
  </si>
  <si>
    <t>实际送风机入口温度（℃）</t>
  </si>
  <si>
    <t>设计空预器后氧量</t>
  </si>
  <si>
    <t>实际空预器后氧量</t>
  </si>
  <si>
    <t>设计给水温度（℃）</t>
  </si>
  <si>
    <t>实际给水温度（℃）</t>
  </si>
  <si>
    <t>设计给水流量（t/h）</t>
  </si>
  <si>
    <t>实际给水流量（t/h）</t>
  </si>
  <si>
    <t>设计排渣温度（℃）</t>
  </si>
  <si>
    <t>实际排渣温度（℃）</t>
  </si>
  <si>
    <t>设计真空（kPa）</t>
  </si>
  <si>
    <t>实际真空（kPa）</t>
  </si>
  <si>
    <t>设计大气压力（kPa）</t>
  </si>
  <si>
    <t>实际大气压力（kPa）</t>
  </si>
  <si>
    <t>设计主汽压力（MPa）</t>
  </si>
  <si>
    <t>实际主汽压力（MPa）</t>
  </si>
  <si>
    <t>设计主蒸汽温度（℃）</t>
  </si>
  <si>
    <t>实际主蒸汽温度（℃）</t>
  </si>
  <si>
    <t>设计再热汽温（℃）</t>
  </si>
  <si>
    <t>实际再热汽温（℃）</t>
  </si>
  <si>
    <t>标煤耗用量（万吨）</t>
  </si>
  <si>
    <t>原煤耗用量（万吨）</t>
  </si>
  <si>
    <t>平均锅炉效率</t>
  </si>
  <si>
    <t>#1炉锅炉效率</t>
  </si>
  <si>
    <t>#2炉锅炉效率</t>
  </si>
  <si>
    <t>综合热值</t>
  </si>
  <si>
    <t>综合灰分</t>
  </si>
  <si>
    <t>综合飞灰可燃物</t>
  </si>
  <si>
    <t>#1炉飞灰可燃物</t>
  </si>
  <si>
    <t>#2炉飞灰可燃物</t>
  </si>
  <si>
    <t>综合炉渣可燃物</t>
  </si>
  <si>
    <t>#1炉炉渣可燃物</t>
  </si>
  <si>
    <t>#2炉炉渣可燃物</t>
  </si>
  <si>
    <t>综合排烟温度</t>
  </si>
  <si>
    <t>#1炉排烟温度</t>
  </si>
  <si>
    <t>#2炉排烟温度</t>
  </si>
  <si>
    <t>送风入口温度</t>
  </si>
  <si>
    <t>1送风入口温度</t>
  </si>
  <si>
    <t>2送风入口温度</t>
  </si>
  <si>
    <t>综合氧量</t>
  </si>
  <si>
    <t>#1炉氧量</t>
  </si>
  <si>
    <t>#2炉氧量</t>
  </si>
  <si>
    <t>综合给水流量</t>
  </si>
  <si>
    <t>#1炉给水流量</t>
  </si>
  <si>
    <t>#2炉给水流量</t>
  </si>
  <si>
    <t>综合排渣温度</t>
  </si>
  <si>
    <t>#1炉排渣温度</t>
  </si>
  <si>
    <t>#2炉排渣温度</t>
  </si>
  <si>
    <r>
      <rPr>
        <sz val="6"/>
        <color theme="1"/>
        <rFont val="微软雅黑"/>
        <family val="2"/>
        <charset val="134"/>
      </rPr>
      <t>q</t>
    </r>
    <r>
      <rPr>
        <vertAlign val="subscript"/>
        <sz val="6"/>
        <color theme="1"/>
        <rFont val="微软雅黑"/>
        <family val="2"/>
        <charset val="134"/>
      </rPr>
      <t>2</t>
    </r>
    <r>
      <rPr>
        <sz val="6"/>
        <color theme="1"/>
        <rFont val="微软雅黑"/>
        <family val="2"/>
        <charset val="134"/>
      </rPr>
      <t xml:space="preserve"> —— 排烟热损失（％）</t>
    </r>
  </si>
  <si>
    <r>
      <rPr>
        <sz val="6"/>
        <color theme="1"/>
        <rFont val="微软雅黑"/>
        <family val="2"/>
        <charset val="134"/>
      </rPr>
      <t>a</t>
    </r>
    <r>
      <rPr>
        <vertAlign val="subscript"/>
        <sz val="6"/>
        <color theme="1"/>
        <rFont val="微软雅黑"/>
        <family val="2"/>
        <charset val="134"/>
      </rPr>
      <t>py</t>
    </r>
    <r>
      <rPr>
        <sz val="6"/>
        <color theme="1"/>
        <rFont val="微软雅黑"/>
        <family val="2"/>
        <charset val="134"/>
      </rPr>
      <t xml:space="preserve"> ——排烟过剩空气系数（无量纲）</t>
    </r>
  </si>
  <si>
    <r>
      <rPr>
        <sz val="6"/>
        <color theme="1"/>
        <rFont val="微软雅黑"/>
        <family val="2"/>
        <charset val="134"/>
      </rPr>
      <t>t</t>
    </r>
    <r>
      <rPr>
        <vertAlign val="subscript"/>
        <sz val="6"/>
        <color theme="1"/>
        <rFont val="微软雅黑"/>
        <family val="2"/>
        <charset val="134"/>
      </rPr>
      <t>py</t>
    </r>
    <r>
      <rPr>
        <sz val="6"/>
        <color theme="1"/>
        <rFont val="微软雅黑"/>
        <family val="2"/>
        <charset val="134"/>
      </rPr>
      <t xml:space="preserve"> —— 排烟温度（℃）</t>
    </r>
  </si>
  <si>
    <r>
      <rPr>
        <sz val="6"/>
        <color theme="1"/>
        <rFont val="微软雅黑"/>
        <family val="2"/>
        <charset val="134"/>
      </rPr>
      <t>t</t>
    </r>
    <r>
      <rPr>
        <vertAlign val="subscript"/>
        <sz val="6"/>
        <color theme="1"/>
        <rFont val="微软雅黑"/>
        <family val="2"/>
        <charset val="134"/>
      </rPr>
      <t>lk</t>
    </r>
    <r>
      <rPr>
        <sz val="6"/>
        <color theme="1"/>
        <rFont val="微软雅黑"/>
        <family val="2"/>
        <charset val="134"/>
      </rPr>
      <t xml:space="preserve"> —— 送风机入口平均风温（℃）</t>
    </r>
  </si>
  <si>
    <r>
      <rPr>
        <sz val="6"/>
        <color theme="1"/>
        <rFont val="微软雅黑"/>
        <family val="2"/>
        <charset val="134"/>
      </rPr>
      <t>k</t>
    </r>
    <r>
      <rPr>
        <vertAlign val="subscript"/>
        <sz val="6"/>
        <color theme="1"/>
        <rFont val="微软雅黑"/>
        <family val="2"/>
        <charset val="134"/>
      </rPr>
      <t>1</t>
    </r>
    <r>
      <rPr>
        <sz val="6"/>
        <color theme="1"/>
        <rFont val="微软雅黑"/>
        <family val="2"/>
        <charset val="134"/>
      </rPr>
      <t>——燃料特性系数（对于烟煤取3.54，无烟煤和贫煤取3.55）</t>
    </r>
  </si>
  <si>
    <r>
      <rPr>
        <sz val="6"/>
        <color theme="1"/>
        <rFont val="微软雅黑"/>
        <family val="2"/>
        <charset val="134"/>
      </rPr>
      <t>k</t>
    </r>
    <r>
      <rPr>
        <vertAlign val="subscript"/>
        <sz val="6"/>
        <color theme="1"/>
        <rFont val="微软雅黑"/>
        <family val="2"/>
        <charset val="134"/>
      </rPr>
      <t>2</t>
    </r>
    <r>
      <rPr>
        <sz val="6"/>
        <color theme="1"/>
        <rFont val="微软雅黑"/>
        <family val="2"/>
        <charset val="134"/>
      </rPr>
      <t>——燃料特性系数（对于烟煤取0.44，无烟煤和贫煤取0.44）</t>
    </r>
  </si>
  <si>
    <t>空预器后氧量（%）</t>
  </si>
  <si>
    <r>
      <rPr>
        <sz val="6"/>
        <color theme="1"/>
        <rFont val="微软雅黑"/>
        <family val="2"/>
        <charset val="134"/>
      </rPr>
      <t>q</t>
    </r>
    <r>
      <rPr>
        <vertAlign val="subscript"/>
        <sz val="6"/>
        <color theme="1"/>
        <rFont val="微软雅黑"/>
        <family val="2"/>
        <charset val="134"/>
      </rPr>
      <t>4</t>
    </r>
    <r>
      <rPr>
        <sz val="6"/>
        <color theme="1"/>
        <rFont val="微软雅黑"/>
        <family val="2"/>
        <charset val="134"/>
      </rPr>
      <t xml:space="preserve"> —— 机械不完全燃烧损失（％）</t>
    </r>
  </si>
  <si>
    <r>
      <rPr>
        <sz val="6"/>
        <color theme="1"/>
        <rFont val="微软雅黑"/>
        <family val="2"/>
        <charset val="134"/>
      </rPr>
      <t>A</t>
    </r>
    <r>
      <rPr>
        <vertAlign val="superscript"/>
        <sz val="6"/>
        <color theme="1"/>
        <rFont val="微软雅黑"/>
        <family val="2"/>
        <charset val="134"/>
      </rPr>
      <t xml:space="preserve">y </t>
    </r>
    <r>
      <rPr>
        <sz val="6"/>
        <color theme="1"/>
        <rFont val="微软雅黑"/>
        <family val="2"/>
        <charset val="134"/>
      </rPr>
      <t>—— 收到基灰份含量（％）</t>
    </r>
  </si>
  <si>
    <r>
      <rPr>
        <sz val="6"/>
        <color theme="1"/>
        <rFont val="微软雅黑"/>
        <family val="2"/>
        <charset val="134"/>
      </rPr>
      <t>Q</t>
    </r>
    <r>
      <rPr>
        <vertAlign val="subscript"/>
        <sz val="6"/>
        <color theme="1"/>
        <rFont val="微软雅黑"/>
        <family val="2"/>
        <charset val="134"/>
      </rPr>
      <t xml:space="preserve">dy </t>
    </r>
    <r>
      <rPr>
        <sz val="6"/>
        <color theme="1"/>
        <rFont val="微软雅黑"/>
        <family val="2"/>
        <charset val="134"/>
      </rPr>
      <t>——　收到基低位发热量（kJ/kg）</t>
    </r>
  </si>
  <si>
    <r>
      <rPr>
        <sz val="6"/>
        <color theme="1"/>
        <rFont val="微软雅黑"/>
        <family val="2"/>
        <charset val="134"/>
      </rPr>
      <t>C</t>
    </r>
    <r>
      <rPr>
        <vertAlign val="subscript"/>
        <sz val="6"/>
        <color theme="1"/>
        <rFont val="微软雅黑"/>
        <family val="2"/>
        <charset val="134"/>
      </rPr>
      <t>hzpj</t>
    </r>
    <r>
      <rPr>
        <sz val="6"/>
        <color theme="1"/>
        <rFont val="微软雅黑"/>
        <family val="2"/>
        <charset val="134"/>
      </rPr>
      <t xml:space="preserve"> —— 灰渣平均含碳量（％）</t>
    </r>
  </si>
  <si>
    <r>
      <rPr>
        <sz val="6"/>
        <color theme="1"/>
        <rFont val="微软雅黑"/>
        <family val="2"/>
        <charset val="134"/>
      </rPr>
      <t>a</t>
    </r>
    <r>
      <rPr>
        <vertAlign val="subscript"/>
        <sz val="6"/>
        <color theme="1"/>
        <rFont val="微软雅黑"/>
        <family val="2"/>
        <charset val="134"/>
      </rPr>
      <t>fh</t>
    </r>
    <r>
      <rPr>
        <sz val="6"/>
        <color theme="1"/>
        <rFont val="微软雅黑"/>
        <family val="2"/>
        <charset val="134"/>
      </rPr>
      <t xml:space="preserve">  —— 飞灰占燃煤中总灰量份额，取定值</t>
    </r>
  </si>
  <si>
    <r>
      <rPr>
        <sz val="6"/>
        <color theme="1"/>
        <rFont val="微软雅黑"/>
        <family val="2"/>
        <charset val="134"/>
      </rPr>
      <t>a</t>
    </r>
    <r>
      <rPr>
        <vertAlign val="subscript"/>
        <sz val="6"/>
        <color theme="1"/>
        <rFont val="微软雅黑"/>
        <family val="2"/>
        <charset val="134"/>
      </rPr>
      <t>lz</t>
    </r>
    <r>
      <rPr>
        <sz val="6"/>
        <color theme="1"/>
        <rFont val="微软雅黑"/>
        <family val="2"/>
        <charset val="134"/>
      </rPr>
      <t xml:space="preserve">  —— 炉渣占燃煤中总灰量份额，取定值</t>
    </r>
  </si>
  <si>
    <r>
      <rPr>
        <sz val="6"/>
        <color theme="1"/>
        <rFont val="微软雅黑"/>
        <family val="2"/>
        <charset val="134"/>
      </rPr>
      <t>C</t>
    </r>
    <r>
      <rPr>
        <vertAlign val="subscript"/>
        <sz val="6"/>
        <color theme="1"/>
        <rFont val="微软雅黑"/>
        <family val="2"/>
        <charset val="134"/>
      </rPr>
      <t>fh</t>
    </r>
    <r>
      <rPr>
        <sz val="6"/>
        <color theme="1"/>
        <rFont val="微软雅黑"/>
        <family val="2"/>
        <charset val="134"/>
      </rPr>
      <t xml:space="preserve">  —— 飞灰中可燃物质量百分率（％）</t>
    </r>
  </si>
  <si>
    <r>
      <rPr>
        <sz val="6"/>
        <color theme="1"/>
        <rFont val="微软雅黑"/>
        <family val="2"/>
        <charset val="134"/>
      </rPr>
      <t>C</t>
    </r>
    <r>
      <rPr>
        <vertAlign val="subscript"/>
        <sz val="6"/>
        <color theme="1"/>
        <rFont val="微软雅黑"/>
        <family val="2"/>
        <charset val="134"/>
      </rPr>
      <t>lz</t>
    </r>
    <r>
      <rPr>
        <sz val="6"/>
        <color theme="1"/>
        <rFont val="微软雅黑"/>
        <family val="2"/>
        <charset val="134"/>
      </rPr>
      <t xml:space="preserve">  —— 炉渣中可燃物质量百分率（％）</t>
    </r>
  </si>
  <si>
    <r>
      <rPr>
        <sz val="6"/>
        <color theme="1"/>
        <rFont val="微软雅黑"/>
        <family val="2"/>
        <charset val="134"/>
      </rPr>
      <t>q</t>
    </r>
    <r>
      <rPr>
        <vertAlign val="subscript"/>
        <sz val="6"/>
        <color theme="1"/>
        <rFont val="微软雅黑"/>
        <family val="2"/>
        <charset val="134"/>
      </rPr>
      <t>5</t>
    </r>
    <r>
      <rPr>
        <sz val="6"/>
        <color theme="1"/>
        <rFont val="微软雅黑"/>
        <family val="2"/>
        <charset val="134"/>
      </rPr>
      <t xml:space="preserve"> —— 锅炉散热损失（％）</t>
    </r>
  </si>
  <si>
    <r>
      <rPr>
        <sz val="6"/>
        <color theme="1"/>
        <rFont val="微软雅黑"/>
        <family val="2"/>
        <charset val="134"/>
      </rPr>
      <t>D</t>
    </r>
    <r>
      <rPr>
        <vertAlign val="subscript"/>
        <sz val="6"/>
        <color theme="1"/>
        <rFont val="微软雅黑"/>
        <family val="2"/>
        <charset val="134"/>
      </rPr>
      <t>e</t>
    </r>
    <r>
      <rPr>
        <sz val="6"/>
        <color theme="1"/>
        <rFont val="微软雅黑"/>
        <family val="2"/>
        <charset val="134"/>
      </rPr>
      <t xml:space="preserve"> —— 锅炉额定蒸发量（t/h）</t>
    </r>
  </si>
  <si>
    <r>
      <rPr>
        <sz val="6"/>
        <color theme="1"/>
        <rFont val="微软雅黑"/>
        <family val="2"/>
        <charset val="134"/>
      </rPr>
      <t>D</t>
    </r>
    <r>
      <rPr>
        <vertAlign val="subscript"/>
        <sz val="6"/>
        <color theme="1"/>
        <rFont val="微软雅黑"/>
        <family val="2"/>
        <charset val="134"/>
      </rPr>
      <t>b</t>
    </r>
    <r>
      <rPr>
        <sz val="6"/>
        <color theme="1"/>
        <rFont val="微软雅黑"/>
        <family val="2"/>
        <charset val="134"/>
      </rPr>
      <t xml:space="preserve"> —— 锅炉蒸发量（t/h）</t>
    </r>
  </si>
  <si>
    <r>
      <rPr>
        <sz val="6"/>
        <color theme="1"/>
        <rFont val="微软雅黑"/>
        <family val="2"/>
        <charset val="134"/>
      </rPr>
      <t>q</t>
    </r>
    <r>
      <rPr>
        <vertAlign val="subscript"/>
        <sz val="6"/>
        <color theme="1"/>
        <rFont val="微软雅黑"/>
        <family val="2"/>
        <charset val="134"/>
      </rPr>
      <t>6</t>
    </r>
    <r>
      <rPr>
        <sz val="6"/>
        <color theme="1"/>
        <rFont val="微软雅黑"/>
        <family val="2"/>
        <charset val="134"/>
      </rPr>
      <t xml:space="preserve"> —— 灰渣物理热损失（％）</t>
    </r>
  </si>
  <si>
    <r>
      <rPr>
        <sz val="6"/>
        <color theme="1"/>
        <rFont val="微软雅黑"/>
        <family val="2"/>
        <charset val="134"/>
      </rPr>
      <t>r</t>
    </r>
    <r>
      <rPr>
        <vertAlign val="subscript"/>
        <sz val="6"/>
        <color theme="1"/>
        <rFont val="微软雅黑"/>
        <family val="2"/>
        <charset val="134"/>
      </rPr>
      <t>fh</t>
    </r>
    <r>
      <rPr>
        <sz val="6"/>
        <color theme="1"/>
        <rFont val="微软雅黑"/>
        <family val="2"/>
        <charset val="134"/>
      </rPr>
      <t xml:space="preserve"> —— 锅炉飞灰比热，取0.72（kJ/kg.K）</t>
    </r>
  </si>
  <si>
    <r>
      <rPr>
        <sz val="6"/>
        <color theme="1"/>
        <rFont val="微软雅黑"/>
        <family val="2"/>
        <charset val="134"/>
      </rPr>
      <t>r</t>
    </r>
    <r>
      <rPr>
        <vertAlign val="subscript"/>
        <sz val="6"/>
        <color theme="1"/>
        <rFont val="微软雅黑"/>
        <family val="2"/>
        <charset val="134"/>
      </rPr>
      <t>lz</t>
    </r>
    <r>
      <rPr>
        <sz val="6"/>
        <color theme="1"/>
        <rFont val="微软雅黑"/>
        <family val="2"/>
        <charset val="134"/>
      </rPr>
      <t xml:space="preserve"> —— 锅炉炉渣比热，取0.84（kJ/kg.K）</t>
    </r>
  </si>
  <si>
    <r>
      <rPr>
        <sz val="6"/>
        <color theme="1"/>
        <rFont val="微软雅黑"/>
        <family val="2"/>
        <charset val="134"/>
      </rPr>
      <t>t</t>
    </r>
    <r>
      <rPr>
        <vertAlign val="subscript"/>
        <sz val="6"/>
        <color theme="1"/>
        <rFont val="微软雅黑"/>
        <family val="2"/>
        <charset val="134"/>
      </rPr>
      <t>lz</t>
    </r>
    <r>
      <rPr>
        <sz val="6"/>
        <color theme="1"/>
        <rFont val="微软雅黑"/>
        <family val="2"/>
        <charset val="134"/>
      </rPr>
      <t xml:space="preserve"> —— 炉渣排出温度（℃），若无测点则可取800℃</t>
    </r>
  </si>
  <si>
    <r>
      <rPr>
        <sz val="6"/>
        <color theme="1"/>
        <rFont val="微软雅黑"/>
        <family val="2"/>
        <charset val="134"/>
      </rPr>
      <t>t</t>
    </r>
    <r>
      <rPr>
        <vertAlign val="subscript"/>
        <sz val="6"/>
        <color theme="1"/>
        <rFont val="微软雅黑"/>
        <family val="2"/>
        <charset val="134"/>
      </rPr>
      <t>lk</t>
    </r>
    <r>
      <rPr>
        <sz val="6"/>
        <color theme="1"/>
        <rFont val="微软雅黑"/>
        <family val="2"/>
        <charset val="134"/>
      </rPr>
      <t xml:space="preserve"> —— 送风机入口风温（℃）</t>
    </r>
  </si>
  <si>
    <r>
      <rPr>
        <sz val="6"/>
        <color theme="1"/>
        <rFont val="微软雅黑"/>
        <family val="2"/>
        <charset val="134"/>
      </rPr>
      <t>A</t>
    </r>
    <r>
      <rPr>
        <vertAlign val="superscript"/>
        <sz val="6"/>
        <color theme="1"/>
        <rFont val="微软雅黑"/>
        <family val="2"/>
        <charset val="134"/>
      </rPr>
      <t>y</t>
    </r>
    <r>
      <rPr>
        <sz val="6"/>
        <color theme="1"/>
        <rFont val="微软雅黑"/>
        <family val="2"/>
        <charset val="134"/>
      </rPr>
      <t xml:space="preserve"> —— 煤应用基灰份含量（％）</t>
    </r>
  </si>
  <si>
    <r>
      <rPr>
        <sz val="6"/>
        <color theme="1"/>
        <rFont val="微软雅黑"/>
        <family val="2"/>
        <charset val="134"/>
      </rPr>
      <t>Q</t>
    </r>
    <r>
      <rPr>
        <vertAlign val="subscript"/>
        <sz val="6"/>
        <color theme="1"/>
        <rFont val="微软雅黑"/>
        <family val="2"/>
        <charset val="134"/>
      </rPr>
      <t>dy</t>
    </r>
    <r>
      <rPr>
        <sz val="6"/>
        <color theme="1"/>
        <rFont val="微软雅黑"/>
        <family val="2"/>
        <charset val="134"/>
      </rPr>
      <t xml:space="preserve"> —— 煤应用基低位发热量（kJ/kg）</t>
    </r>
  </si>
  <si>
    <t>alz  —— 炉渣占燃煤中总灰量份额，取定值</t>
  </si>
  <si>
    <t>银海电厂</t>
  </si>
  <si>
    <t>收到基全水分%</t>
  </si>
  <si>
    <t>收到基灰分%</t>
  </si>
  <si>
    <t>收到基硫分%</t>
  </si>
  <si>
    <t>收到基挥发分%</t>
  </si>
  <si>
    <t>褐煤2（云）长协</t>
  </si>
  <si>
    <t>褐煤3（云）长协</t>
  </si>
  <si>
    <t>褐煤3（云）</t>
  </si>
  <si>
    <t>褐煤32（港1）</t>
  </si>
  <si>
    <t>褐煤35（港2）</t>
  </si>
  <si>
    <t>褐煤38（港3）</t>
  </si>
  <si>
    <t>褐煤47</t>
  </si>
  <si>
    <t>烟煤55</t>
  </si>
  <si>
    <t>烟煤50备</t>
  </si>
  <si>
    <t>烟煤55备</t>
  </si>
  <si>
    <t>烟煤65备</t>
  </si>
  <si>
    <t>石油焦</t>
  </si>
  <si>
    <t>石油焦2</t>
  </si>
  <si>
    <t>烟煤45</t>
  </si>
  <si>
    <t>褐煤4500</t>
  </si>
  <si>
    <t>Mt.ar%</t>
  </si>
  <si>
    <t>收到基全水份</t>
    <phoneticPr fontId="7" type="noConversion"/>
  </si>
  <si>
    <t>空气干燥基水份</t>
  </si>
  <si>
    <t>Mad%</t>
  </si>
  <si>
    <t>空气干燥基灰份</t>
  </si>
  <si>
    <t>Aad%</t>
  </si>
  <si>
    <t>空气干燥基全硫</t>
  </si>
  <si>
    <t>St.ad%</t>
  </si>
  <si>
    <t>空气干燥基挥发份</t>
  </si>
  <si>
    <t>Vad%</t>
  </si>
  <si>
    <t>收到基灰分</t>
    <phoneticPr fontId="7" type="noConversion"/>
  </si>
  <si>
    <t>收到基全硫</t>
    <phoneticPr fontId="7" type="noConversion"/>
  </si>
  <si>
    <t>收到基挥发份</t>
  </si>
  <si>
    <t>Var%</t>
  </si>
  <si>
    <t>Aar%</t>
    <phoneticPr fontId="7" type="noConversion"/>
  </si>
  <si>
    <t>St.ar%</t>
    <phoneticPr fontId="7" type="noConversion"/>
  </si>
  <si>
    <t>收到基低位发热量</t>
  </si>
  <si>
    <t>Qnet,ar  大卡</t>
  </si>
  <si>
    <t>矿别及煤种</t>
    <phoneticPr fontId="7" type="noConversion"/>
  </si>
  <si>
    <t>褐煤46</t>
  </si>
  <si>
    <t>8月</t>
    <phoneticPr fontId="7" type="noConversion"/>
  </si>
  <si>
    <t>入炉硫量（t/h）</t>
  </si>
  <si>
    <t>灰渣总量（t/h）</t>
  </si>
  <si>
    <t>石油焦比例（%）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</si>
</sst>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@&quot;规&quot;&quot;划&quot;&quot;求&quot;&quot;解&quot;&quot;配&quot;&quot;煤&quot;&quot;模&quot;&quot;型&quot;"/>
    <numFmt numFmtId="177" formatCode="@\(&quot;万&quot;&quot;吨&quot;\)"/>
    <numFmt numFmtId="178" formatCode="@\(&quot;万&quot;&quot;元&quot;\)"/>
    <numFmt numFmtId="179" formatCode="0.0000"/>
    <numFmt numFmtId="180" formatCode="0.0"/>
    <numFmt numFmtId="181" formatCode="&quot;百&quot;&quot;矿&quot;@"/>
    <numFmt numFmtId="182" formatCode="0.0000_);[Red]\(0.0000\)"/>
    <numFmt numFmtId="183" formatCode="0.00_);[Red]\(0.00\)"/>
    <numFmt numFmtId="184" formatCode="@\(&quot;万&quot;&quot;度&quot;\)"/>
    <numFmt numFmtId="185" formatCode="&quot;德&quot;&quot;保&quot;@"/>
    <numFmt numFmtId="186" formatCode="&quot;银&quot;&quot;海&quot;@"/>
    <numFmt numFmtId="187" formatCode="&quot;田&quot;&quot;东&quot;@"/>
    <numFmt numFmtId="188" formatCode="@\(&quot;大&quot;&quot;卡&quot;\)"/>
    <numFmt numFmtId="189" formatCode="0.0000_ "/>
    <numFmt numFmtId="190" formatCode="&quot;田&quot;&quot;阳&quot;@"/>
    <numFmt numFmtId="191" formatCode="0.00_ "/>
    <numFmt numFmtId="192" formatCode="0.000000000000_ "/>
    <numFmt numFmtId="193" formatCode="#0.00"/>
  </numFmts>
  <fonts count="35" x14ac:knownFonts="1">
    <font>
      <sz val="11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2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1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name val="黑体"/>
      <family val="3"/>
      <charset val="134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strike/>
      <sz val="11"/>
      <color rgb="FFFF0000"/>
      <name val="黑体"/>
      <family val="3"/>
      <charset val="134"/>
    </font>
    <font>
      <b/>
      <sz val="11"/>
      <color rgb="FFFF0000"/>
      <name val="黑体"/>
      <family val="3"/>
      <charset val="134"/>
    </font>
    <font>
      <b/>
      <sz val="24"/>
      <color rgb="FFFF0000"/>
      <name val="微软雅黑"/>
      <family val="2"/>
      <charset val="134"/>
    </font>
    <font>
      <sz val="14"/>
      <name val="微软雅黑"/>
      <family val="2"/>
      <charset val="134"/>
    </font>
    <font>
      <sz val="6"/>
      <color theme="1"/>
      <name val="微软雅黑"/>
      <family val="2"/>
      <charset val="134"/>
    </font>
    <font>
      <vertAlign val="subscript"/>
      <sz val="6"/>
      <color theme="1"/>
      <name val="微软雅黑"/>
      <family val="2"/>
      <charset val="134"/>
    </font>
    <font>
      <vertAlign val="superscript"/>
      <sz val="6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rgb="FF3F3F76"/>
      <name val="微软雅黑"/>
      <family val="2"/>
      <charset val="134"/>
    </font>
    <font>
      <b/>
      <sz val="12"/>
      <color rgb="FFFA7D00"/>
      <name val="微软雅黑"/>
      <family val="2"/>
      <charset val="134"/>
    </font>
    <font>
      <sz val="12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46287423322249"/>
        <bgColor indexed="64"/>
      </patternFill>
    </fill>
    <fill>
      <patternFill patternType="solid">
        <fgColor theme="5" tint="0.79946287423322249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9" tint="0.799462874233222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4567705313272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BADF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3408001953185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31" borderId="25" applyNumberFormat="0" applyAlignment="0" applyProtection="0">
      <alignment vertical="center"/>
    </xf>
    <xf numFmtId="0" fontId="33" fillId="32" borderId="25" applyNumberForma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176" fontId="6" fillId="2" borderId="0" xfId="0" applyNumberFormat="1" applyFont="1" applyFill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11" fillId="3" borderId="0" xfId="0" applyFont="1" applyFill="1">
      <alignment vertical="center"/>
    </xf>
    <xf numFmtId="0" fontId="10" fillId="0" borderId="0" xfId="0" applyFo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77" fontId="14" fillId="4" borderId="2" xfId="0" applyNumberFormat="1" applyFont="1" applyFill="1" applyBorder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/>
    </xf>
    <xf numFmtId="2" fontId="8" fillId="5" borderId="0" xfId="0" applyNumberFormat="1" applyFont="1" applyFill="1" applyAlignment="1">
      <alignment horizontal="centerContinuous" vertical="center"/>
    </xf>
    <xf numFmtId="0" fontId="10" fillId="3" borderId="0" xfId="0" applyFont="1" applyFill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" fontId="10" fillId="7" borderId="2" xfId="0" applyNumberFormat="1" applyFont="1" applyFill="1" applyBorder="1">
      <alignment vertical="center"/>
    </xf>
    <xf numFmtId="179" fontId="10" fillId="7" borderId="2" xfId="0" applyNumberFormat="1" applyFont="1" applyFill="1" applyBorder="1">
      <alignment vertical="center"/>
    </xf>
    <xf numFmtId="2" fontId="10" fillId="7" borderId="2" xfId="0" applyNumberFormat="1" applyFont="1" applyFill="1" applyBorder="1">
      <alignment vertical="center"/>
    </xf>
    <xf numFmtId="180" fontId="10" fillId="7" borderId="2" xfId="0" applyNumberFormat="1" applyFont="1" applyFill="1" applyBorder="1">
      <alignment vertical="center"/>
    </xf>
    <xf numFmtId="2" fontId="4" fillId="0" borderId="2" xfId="0" applyNumberFormat="1" applyFont="1" applyBorder="1">
      <alignment vertical="center"/>
    </xf>
    <xf numFmtId="2" fontId="4" fillId="8" borderId="2" xfId="0" applyNumberFormat="1" applyFont="1" applyFill="1" applyBorder="1">
      <alignment vertical="center"/>
    </xf>
    <xf numFmtId="0" fontId="10" fillId="7" borderId="2" xfId="0" applyFont="1" applyFill="1" applyBorder="1">
      <alignment vertical="center"/>
    </xf>
    <xf numFmtId="0" fontId="10" fillId="9" borderId="0" xfId="0" applyFont="1" applyFill="1">
      <alignment vertical="center"/>
    </xf>
    <xf numFmtId="181" fontId="10" fillId="10" borderId="2" xfId="0" applyNumberFormat="1" applyFont="1" applyFill="1" applyBorder="1" applyAlignment="1">
      <alignment horizontal="center" vertical="center"/>
    </xf>
    <xf numFmtId="2" fontId="12" fillId="10" borderId="2" xfId="0" applyNumberFormat="1" applyFont="1" applyFill="1" applyBorder="1">
      <alignment vertical="center"/>
    </xf>
    <xf numFmtId="182" fontId="16" fillId="10" borderId="2" xfId="0" applyNumberFormat="1" applyFont="1" applyFill="1" applyBorder="1" applyAlignment="1">
      <alignment horizontal="center" vertical="center" wrapText="1"/>
    </xf>
    <xf numFmtId="183" fontId="16" fillId="10" borderId="2" xfId="0" applyNumberFormat="1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184" fontId="10" fillId="11" borderId="4" xfId="0" applyNumberFormat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1" fontId="10" fillId="10" borderId="2" xfId="0" applyNumberFormat="1" applyFont="1" applyFill="1" applyBorder="1">
      <alignment vertical="center"/>
    </xf>
    <xf numFmtId="179" fontId="10" fillId="10" borderId="2" xfId="0" applyNumberFormat="1" applyFont="1" applyFill="1" applyBorder="1">
      <alignment vertical="center"/>
    </xf>
    <xf numFmtId="2" fontId="10" fillId="10" borderId="2" xfId="0" applyNumberFormat="1" applyFont="1" applyFill="1" applyBorder="1">
      <alignment vertical="center"/>
    </xf>
    <xf numFmtId="180" fontId="10" fillId="12" borderId="2" xfId="0" applyNumberFormat="1" applyFont="1" applyFill="1" applyBorder="1">
      <alignment vertical="center"/>
    </xf>
    <xf numFmtId="0" fontId="10" fillId="10" borderId="2" xfId="0" applyFont="1" applyFill="1" applyBorder="1">
      <alignment vertical="center"/>
    </xf>
    <xf numFmtId="185" fontId="10" fillId="10" borderId="2" xfId="0" applyNumberFormat="1" applyFont="1" applyFill="1" applyBorder="1" applyAlignment="1">
      <alignment horizontal="center" vertical="center"/>
    </xf>
    <xf numFmtId="0" fontId="16" fillId="9" borderId="1" xfId="2" applyFont="1" applyFill="1" applyBorder="1" applyAlignment="1">
      <alignment horizontal="center" vertical="center" wrapText="1"/>
    </xf>
    <xf numFmtId="0" fontId="16" fillId="9" borderId="2" xfId="2" applyFont="1" applyFill="1" applyBorder="1" applyAlignment="1">
      <alignment horizontal="center" vertical="center" wrapText="1"/>
    </xf>
    <xf numFmtId="182" fontId="16" fillId="9" borderId="2" xfId="2" applyNumberFormat="1" applyFont="1" applyFill="1" applyBorder="1" applyAlignment="1">
      <alignment horizontal="right" vertical="center" wrapText="1"/>
    </xf>
    <xf numFmtId="183" fontId="16" fillId="9" borderId="2" xfId="2" applyNumberFormat="1" applyFont="1" applyFill="1" applyBorder="1" applyAlignment="1">
      <alignment horizontal="right" vertical="center" wrapText="1"/>
    </xf>
    <xf numFmtId="2" fontId="16" fillId="9" borderId="2" xfId="0" applyNumberFormat="1" applyFont="1" applyFill="1" applyBorder="1" applyAlignment="1">
      <alignment horizontal="right" vertical="center" wrapText="1"/>
    </xf>
    <xf numFmtId="0" fontId="10" fillId="11" borderId="4" xfId="0" applyFont="1" applyFill="1" applyBorder="1" applyAlignment="1">
      <alignment horizontal="center" vertical="center"/>
    </xf>
    <xf numFmtId="186" fontId="10" fillId="10" borderId="2" xfId="0" applyNumberFormat="1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 wrapText="1"/>
    </xf>
    <xf numFmtId="187" fontId="10" fillId="10" borderId="2" xfId="0" applyNumberFormat="1" applyFont="1" applyFill="1" applyBorder="1" applyAlignment="1">
      <alignment horizontal="center" vertical="center"/>
    </xf>
    <xf numFmtId="0" fontId="16" fillId="9" borderId="5" xfId="2" applyFont="1" applyFill="1" applyBorder="1" applyAlignment="1">
      <alignment vertical="center" wrapText="1"/>
    </xf>
    <xf numFmtId="0" fontId="16" fillId="13" borderId="2" xfId="2" applyFont="1" applyFill="1" applyBorder="1" applyAlignment="1">
      <alignment horizontal="center" vertical="center" wrapText="1"/>
    </xf>
    <xf numFmtId="182" fontId="16" fillId="13" borderId="2" xfId="2" applyNumberFormat="1" applyFont="1" applyFill="1" applyBorder="1" applyAlignment="1">
      <alignment horizontal="right" vertical="center" wrapText="1"/>
    </xf>
    <xf numFmtId="183" fontId="16" fillId="13" borderId="2" xfId="2" applyNumberFormat="1" applyFont="1" applyFill="1" applyBorder="1" applyAlignment="1">
      <alignment horizontal="right" vertical="center" wrapText="1"/>
    </xf>
    <xf numFmtId="2" fontId="16" fillId="13" borderId="2" xfId="0" applyNumberFormat="1" applyFont="1" applyFill="1" applyBorder="1" applyAlignment="1">
      <alignment horizontal="right" vertical="center" wrapText="1"/>
    </xf>
    <xf numFmtId="2" fontId="10" fillId="11" borderId="4" xfId="0" applyNumberFormat="1" applyFont="1" applyFill="1" applyBorder="1" applyAlignment="1">
      <alignment horizontal="center" vertical="center"/>
    </xf>
    <xf numFmtId="181" fontId="10" fillId="7" borderId="2" xfId="0" applyNumberFormat="1" applyFont="1" applyFill="1" applyBorder="1" applyAlignment="1">
      <alignment horizontal="center" vertical="center"/>
    </xf>
    <xf numFmtId="1" fontId="12" fillId="7" borderId="2" xfId="0" applyNumberFormat="1" applyFont="1" applyFill="1" applyBorder="1">
      <alignment vertical="center"/>
    </xf>
    <xf numFmtId="1" fontId="12" fillId="0" borderId="2" xfId="0" applyNumberFormat="1" applyFont="1" applyBorder="1">
      <alignment vertical="center"/>
    </xf>
    <xf numFmtId="2" fontId="12" fillId="7" borderId="2" xfId="0" applyNumberFormat="1" applyFont="1" applyFill="1" applyBorder="1">
      <alignment vertical="center"/>
    </xf>
    <xf numFmtId="185" fontId="10" fillId="7" borderId="2" xfId="0" applyNumberFormat="1" applyFont="1" applyFill="1" applyBorder="1" applyAlignment="1">
      <alignment horizontal="center" vertical="center"/>
    </xf>
    <xf numFmtId="186" fontId="10" fillId="7" borderId="2" xfId="0" applyNumberFormat="1" applyFont="1" applyFill="1" applyBorder="1" applyAlignment="1">
      <alignment horizontal="center" vertical="center"/>
    </xf>
    <xf numFmtId="0" fontId="16" fillId="9" borderId="5" xfId="2" applyFont="1" applyFill="1" applyBorder="1" applyAlignment="1">
      <alignment horizontal="center" vertical="center" wrapText="1"/>
    </xf>
    <xf numFmtId="187" fontId="10" fillId="7" borderId="2" xfId="0" applyNumberFormat="1" applyFont="1" applyFill="1" applyBorder="1" applyAlignment="1">
      <alignment horizontal="center" vertical="center"/>
    </xf>
    <xf numFmtId="180" fontId="12" fillId="0" borderId="2" xfId="0" applyNumberFormat="1" applyFont="1" applyBorder="1">
      <alignment vertical="center"/>
    </xf>
    <xf numFmtId="2" fontId="10" fillId="3" borderId="4" xfId="0" applyNumberFormat="1" applyFont="1" applyFill="1" applyBorder="1" applyAlignment="1">
      <alignment horizontal="center" vertical="center"/>
    </xf>
    <xf numFmtId="2" fontId="12" fillId="0" borderId="2" xfId="0" applyNumberFormat="1" applyFont="1" applyBorder="1">
      <alignment vertical="center"/>
    </xf>
    <xf numFmtId="0" fontId="12" fillId="14" borderId="2" xfId="0" applyFont="1" applyFill="1" applyBorder="1" applyAlignment="1">
      <alignment horizontal="center" vertical="center"/>
    </xf>
    <xf numFmtId="2" fontId="12" fillId="14" borderId="2" xfId="0" applyNumberFormat="1" applyFont="1" applyFill="1" applyBorder="1">
      <alignment vertical="center"/>
    </xf>
    <xf numFmtId="179" fontId="12" fillId="14" borderId="2" xfId="0" applyNumberFormat="1" applyFont="1" applyFill="1" applyBorder="1">
      <alignment vertical="center"/>
    </xf>
    <xf numFmtId="0" fontId="10" fillId="11" borderId="6" xfId="0" applyFont="1" applyFill="1" applyBorder="1">
      <alignment vertical="center"/>
    </xf>
    <xf numFmtId="0" fontId="12" fillId="13" borderId="6" xfId="0" applyFont="1" applyFill="1" applyBorder="1">
      <alignment vertical="center"/>
    </xf>
    <xf numFmtId="0" fontId="10" fillId="11" borderId="6" xfId="0" applyFont="1" applyFill="1" applyBorder="1" applyAlignment="1">
      <alignment horizontal="right" vertical="center"/>
    </xf>
    <xf numFmtId="2" fontId="10" fillId="7" borderId="6" xfId="0" applyNumberFormat="1" applyFont="1" applyFill="1" applyBorder="1">
      <alignment vertical="center"/>
    </xf>
    <xf numFmtId="0" fontId="10" fillId="15" borderId="6" xfId="0" applyFont="1" applyFill="1" applyBorder="1">
      <alignment vertical="center"/>
    </xf>
    <xf numFmtId="0" fontId="12" fillId="16" borderId="6" xfId="0" applyFont="1" applyFill="1" applyBorder="1">
      <alignment vertical="center"/>
    </xf>
    <xf numFmtId="0" fontId="10" fillId="15" borderId="6" xfId="0" applyFont="1" applyFill="1" applyBorder="1" applyAlignment="1">
      <alignment horizontal="right" vertical="center"/>
    </xf>
    <xf numFmtId="2" fontId="10" fillId="7" borderId="6" xfId="0" applyNumberFormat="1" applyFont="1" applyFill="1" applyBorder="1" applyAlignment="1">
      <alignment horizontal="right" vertical="center"/>
    </xf>
    <xf numFmtId="2" fontId="12" fillId="13" borderId="6" xfId="0" applyNumberFormat="1" applyFont="1" applyFill="1" applyBorder="1" applyAlignment="1">
      <alignment horizontal="right" vertical="center"/>
    </xf>
    <xf numFmtId="1" fontId="12" fillId="13" borderId="6" xfId="0" applyNumberFormat="1" applyFont="1" applyFill="1" applyBorder="1">
      <alignment vertical="center"/>
    </xf>
    <xf numFmtId="0" fontId="10" fillId="11" borderId="7" xfId="0" applyFont="1" applyFill="1" applyBorder="1">
      <alignment vertical="center"/>
    </xf>
    <xf numFmtId="0" fontId="12" fillId="17" borderId="7" xfId="0" applyFont="1" applyFill="1" applyBorder="1">
      <alignment vertical="center"/>
    </xf>
    <xf numFmtId="0" fontId="10" fillId="11" borderId="7" xfId="0" applyFont="1" applyFill="1" applyBorder="1" applyAlignment="1">
      <alignment horizontal="right" vertical="center"/>
    </xf>
    <xf numFmtId="2" fontId="10" fillId="7" borderId="7" xfId="0" applyNumberFormat="1" applyFont="1" applyFill="1" applyBorder="1">
      <alignment vertical="center"/>
    </xf>
    <xf numFmtId="0" fontId="10" fillId="15" borderId="7" xfId="0" applyFont="1" applyFill="1" applyBorder="1">
      <alignment vertical="center"/>
    </xf>
    <xf numFmtId="0" fontId="12" fillId="16" borderId="7" xfId="0" applyFont="1" applyFill="1" applyBorder="1">
      <alignment vertical="center"/>
    </xf>
    <xf numFmtId="0" fontId="10" fillId="15" borderId="7" xfId="0" applyFont="1" applyFill="1" applyBorder="1" applyAlignment="1">
      <alignment horizontal="right" vertical="center"/>
    </xf>
    <xf numFmtId="2" fontId="10" fillId="7" borderId="7" xfId="0" applyNumberFormat="1" applyFont="1" applyFill="1" applyBorder="1" applyAlignment="1">
      <alignment horizontal="right" vertical="center"/>
    </xf>
    <xf numFmtId="2" fontId="12" fillId="13" borderId="7" xfId="0" applyNumberFormat="1" applyFont="1" applyFill="1" applyBorder="1" applyAlignment="1">
      <alignment horizontal="right" vertical="center"/>
    </xf>
    <xf numFmtId="1" fontId="12" fillId="13" borderId="7" xfId="0" applyNumberFormat="1" applyFont="1" applyFill="1" applyBorder="1">
      <alignment vertical="center"/>
    </xf>
    <xf numFmtId="0" fontId="17" fillId="10" borderId="2" xfId="0" applyFont="1" applyFill="1" applyBorder="1" applyAlignment="1">
      <alignment horizontal="center" vertical="center"/>
    </xf>
    <xf numFmtId="2" fontId="12" fillId="13" borderId="7" xfId="0" applyNumberFormat="1" applyFont="1" applyFill="1" applyBorder="1">
      <alignment vertical="center"/>
    </xf>
    <xf numFmtId="0" fontId="17" fillId="13" borderId="2" xfId="0" applyFont="1" applyFill="1" applyBorder="1" applyAlignment="1">
      <alignment horizontal="right" vertical="center"/>
    </xf>
    <xf numFmtId="0" fontId="17" fillId="13" borderId="2" xfId="0" applyFont="1" applyFill="1" applyBorder="1" applyAlignment="1">
      <alignment horizontal="center" vertical="center"/>
    </xf>
    <xf numFmtId="2" fontId="17" fillId="13" borderId="2" xfId="0" applyNumberFormat="1" applyFont="1" applyFill="1" applyBorder="1" applyAlignment="1">
      <alignment horizontal="right" vertical="center"/>
    </xf>
    <xf numFmtId="0" fontId="12" fillId="13" borderId="7" xfId="0" applyFont="1" applyFill="1" applyBorder="1">
      <alignment vertical="center"/>
    </xf>
    <xf numFmtId="2" fontId="10" fillId="11" borderId="7" xfId="0" applyNumberFormat="1" applyFont="1" applyFill="1" applyBorder="1">
      <alignment vertical="center"/>
    </xf>
    <xf numFmtId="1" fontId="10" fillId="7" borderId="7" xfId="0" applyNumberFormat="1" applyFont="1" applyFill="1" applyBorder="1">
      <alignment vertical="center"/>
    </xf>
    <xf numFmtId="0" fontId="17" fillId="7" borderId="2" xfId="0" applyFont="1" applyFill="1" applyBorder="1" applyAlignment="1">
      <alignment horizontal="right" vertical="center"/>
    </xf>
    <xf numFmtId="0" fontId="17" fillId="7" borderId="2" xfId="0" applyFont="1" applyFill="1" applyBorder="1" applyAlignment="1">
      <alignment horizontal="center" vertical="center"/>
    </xf>
    <xf numFmtId="2" fontId="17" fillId="7" borderId="2" xfId="0" applyNumberFormat="1" applyFont="1" applyFill="1" applyBorder="1" applyAlignment="1">
      <alignment horizontal="right" vertical="center"/>
    </xf>
    <xf numFmtId="0" fontId="10" fillId="11" borderId="5" xfId="0" applyFont="1" applyFill="1" applyBorder="1" applyAlignment="1">
      <alignment horizontal="center" vertical="center"/>
    </xf>
    <xf numFmtId="2" fontId="10" fillId="15" borderId="7" xfId="0" applyNumberFormat="1" applyFont="1" applyFill="1" applyBorder="1">
      <alignment vertical="center"/>
    </xf>
    <xf numFmtId="0" fontId="10" fillId="7" borderId="7" xfId="0" applyFont="1" applyFill="1" applyBorder="1">
      <alignment vertical="center"/>
    </xf>
    <xf numFmtId="184" fontId="10" fillId="8" borderId="4" xfId="0" applyNumberFormat="1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2" fontId="10" fillId="8" borderId="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2" xfId="0" applyFont="1" applyFill="1" applyBorder="1">
      <alignment vertical="center"/>
    </xf>
    <xf numFmtId="0" fontId="12" fillId="7" borderId="2" xfId="0" applyFont="1" applyFill="1" applyBorder="1">
      <alignment vertical="center"/>
    </xf>
    <xf numFmtId="0" fontId="10" fillId="8" borderId="5" xfId="0" applyFont="1" applyFill="1" applyBorder="1" applyAlignment="1">
      <alignment horizontal="center" vertical="center"/>
    </xf>
    <xf numFmtId="184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2" fontId="10" fillId="10" borderId="4" xfId="0" applyNumberFormat="1" applyFont="1" applyFill="1" applyBorder="1" applyAlignment="1">
      <alignment horizontal="center" vertical="center"/>
    </xf>
    <xf numFmtId="0" fontId="12" fillId="12" borderId="2" xfId="0" applyFont="1" applyFill="1" applyBorder="1">
      <alignment vertical="center"/>
    </xf>
    <xf numFmtId="1" fontId="10" fillId="13" borderId="6" xfId="0" applyNumberFormat="1" applyFont="1" applyFill="1" applyBorder="1">
      <alignment vertical="center"/>
    </xf>
    <xf numFmtId="1" fontId="10" fillId="13" borderId="7" xfId="0" applyNumberFormat="1" applyFont="1" applyFill="1" applyBorder="1">
      <alignment vertical="center"/>
    </xf>
    <xf numFmtId="2" fontId="10" fillId="11" borderId="7" xfId="0" applyNumberFormat="1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center" vertical="center"/>
    </xf>
    <xf numFmtId="2" fontId="10" fillId="15" borderId="7" xfId="0" applyNumberFormat="1" applyFont="1" applyFill="1" applyBorder="1" applyAlignment="1">
      <alignment horizontal="right" vertical="center"/>
    </xf>
    <xf numFmtId="184" fontId="10" fillId="13" borderId="4" xfId="0" applyNumberFormat="1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2" fontId="10" fillId="13" borderId="4" xfId="0" applyNumberFormat="1" applyFont="1" applyFill="1" applyBorder="1" applyAlignment="1">
      <alignment horizontal="center" vertical="center"/>
    </xf>
    <xf numFmtId="0" fontId="18" fillId="0" borderId="0" xfId="3" applyFont="1" applyAlignment="1">
      <alignment horizontal="centerContinuous" vertical="center"/>
    </xf>
    <xf numFmtId="0" fontId="19" fillId="3" borderId="7" xfId="3" applyFont="1" applyFill="1" applyBorder="1" applyAlignment="1">
      <alignment horizontal="centerContinuous" vertical="center"/>
    </xf>
    <xf numFmtId="0" fontId="20" fillId="18" borderId="5" xfId="3" applyFont="1" applyFill="1" applyBorder="1" applyAlignment="1" applyProtection="1">
      <alignment vertical="center" wrapText="1"/>
      <protection locked="0"/>
    </xf>
    <xf numFmtId="188" fontId="20" fillId="18" borderId="5" xfId="3" applyNumberFormat="1" applyFont="1" applyFill="1" applyBorder="1" applyAlignment="1" applyProtection="1">
      <alignment horizontal="center" vertical="center" wrapText="1"/>
      <protection locked="0"/>
    </xf>
    <xf numFmtId="0" fontId="20" fillId="18" borderId="5" xfId="3" applyFont="1" applyFill="1" applyBorder="1" applyAlignment="1" applyProtection="1">
      <alignment horizontal="center" vertical="center" wrapText="1"/>
      <protection locked="0"/>
    </xf>
    <xf numFmtId="0" fontId="21" fillId="19" borderId="2" xfId="3" applyFont="1" applyFill="1" applyBorder="1">
      <alignment vertical="center"/>
    </xf>
    <xf numFmtId="1" fontId="22" fillId="19" borderId="2" xfId="3" applyNumberFormat="1" applyFont="1" applyFill="1" applyBorder="1">
      <alignment vertical="center"/>
    </xf>
    <xf numFmtId="2" fontId="22" fillId="0" borderId="2" xfId="3" applyNumberFormat="1" applyFont="1" applyBorder="1">
      <alignment vertical="center"/>
    </xf>
    <xf numFmtId="0" fontId="21" fillId="17" borderId="2" xfId="3" applyFont="1" applyFill="1" applyBorder="1">
      <alignment vertical="center"/>
    </xf>
    <xf numFmtId="1" fontId="23" fillId="0" borderId="2" xfId="3" applyNumberFormat="1" applyFont="1" applyBorder="1">
      <alignment vertical="center"/>
    </xf>
    <xf numFmtId="2" fontId="23" fillId="20" borderId="2" xfId="3" applyNumberFormat="1" applyFont="1" applyFill="1" applyBorder="1">
      <alignment vertical="center"/>
    </xf>
    <xf numFmtId="1" fontId="22" fillId="0" borderId="2" xfId="3" applyNumberFormat="1" applyFont="1" applyBorder="1">
      <alignment vertical="center"/>
    </xf>
    <xf numFmtId="2" fontId="22" fillId="20" borderId="2" xfId="3" applyNumberFormat="1" applyFont="1" applyFill="1" applyBorder="1">
      <alignment vertical="center"/>
    </xf>
    <xf numFmtId="0" fontId="21" fillId="21" borderId="2" xfId="3" applyFont="1" applyFill="1" applyBorder="1">
      <alignment vertical="center"/>
    </xf>
    <xf numFmtId="2" fontId="10" fillId="13" borderId="7" xfId="0" applyNumberFormat="1" applyFont="1" applyFill="1" applyBorder="1">
      <alignment vertical="center"/>
    </xf>
    <xf numFmtId="0" fontId="21" fillId="22" borderId="2" xfId="3" applyFont="1" applyFill="1" applyBorder="1">
      <alignment vertical="center"/>
    </xf>
    <xf numFmtId="0" fontId="21" fillId="6" borderId="2" xfId="3" applyFont="1" applyFill="1" applyBorder="1">
      <alignment vertical="center"/>
    </xf>
    <xf numFmtId="2" fontId="12" fillId="23" borderId="2" xfId="0" applyNumberFormat="1" applyFont="1" applyFill="1" applyBorder="1" applyAlignment="1">
      <alignment horizontal="center" vertical="center"/>
    </xf>
    <xf numFmtId="2" fontId="12" fillId="23" borderId="2" xfId="0" applyNumberFormat="1" applyFont="1" applyFill="1" applyBorder="1">
      <alignment vertical="center"/>
    </xf>
    <xf numFmtId="180" fontId="12" fillId="23" borderId="2" xfId="0" applyNumberFormat="1" applyFont="1" applyFill="1" applyBorder="1">
      <alignment vertical="center"/>
    </xf>
    <xf numFmtId="0" fontId="21" fillId="3" borderId="2" xfId="3" applyFont="1" applyFill="1" applyBorder="1">
      <alignment vertical="center"/>
    </xf>
    <xf numFmtId="2" fontId="23" fillId="0" borderId="2" xfId="3" applyNumberFormat="1" applyFont="1" applyBorder="1">
      <alignment vertical="center"/>
    </xf>
    <xf numFmtId="2" fontId="24" fillId="20" borderId="2" xfId="3" applyNumberFormat="1" applyFont="1" applyFill="1" applyBorder="1">
      <alignment vertical="center"/>
    </xf>
    <xf numFmtId="0" fontId="12" fillId="10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11" borderId="7" xfId="0" applyFont="1" applyFill="1" applyBorder="1">
      <alignment vertical="center"/>
    </xf>
    <xf numFmtId="0" fontId="12" fillId="10" borderId="7" xfId="0" applyFont="1" applyFill="1" applyBorder="1" applyAlignment="1">
      <alignment horizontal="center" vertical="center" wrapText="1"/>
    </xf>
    <xf numFmtId="0" fontId="12" fillId="26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right" vertical="center"/>
    </xf>
    <xf numFmtId="2" fontId="12" fillId="0" borderId="7" xfId="0" applyNumberFormat="1" applyFont="1" applyBorder="1" applyAlignment="1">
      <alignment horizontal="right" vertical="center"/>
    </xf>
    <xf numFmtId="179" fontId="12" fillId="0" borderId="7" xfId="0" applyNumberFormat="1" applyFont="1" applyBorder="1" applyAlignment="1">
      <alignment horizontal="right" vertical="center"/>
    </xf>
    <xf numFmtId="189" fontId="12" fillId="0" borderId="7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2" fontId="12" fillId="0" borderId="7" xfId="0" applyNumberFormat="1" applyFont="1" applyBorder="1">
      <alignment vertical="center"/>
    </xf>
    <xf numFmtId="180" fontId="12" fillId="0" borderId="7" xfId="0" applyNumberFormat="1" applyFont="1" applyBorder="1" applyAlignment="1">
      <alignment horizontal="right" vertical="center"/>
    </xf>
    <xf numFmtId="2" fontId="12" fillId="2" borderId="0" xfId="0" applyNumberFormat="1" applyFont="1" applyFill="1">
      <alignment vertical="center"/>
    </xf>
    <xf numFmtId="2" fontId="12" fillId="3" borderId="0" xfId="0" applyNumberFormat="1" applyFont="1" applyFill="1">
      <alignment vertical="center"/>
    </xf>
    <xf numFmtId="0" fontId="12" fillId="13" borderId="19" xfId="0" applyFont="1" applyFill="1" applyBorder="1" applyAlignment="1">
      <alignment horizontal="center" vertical="center"/>
    </xf>
    <xf numFmtId="1" fontId="12" fillId="13" borderId="7" xfId="0" applyNumberFormat="1" applyFont="1" applyFill="1" applyBorder="1" applyAlignment="1">
      <alignment horizontal="right" vertical="center"/>
    </xf>
    <xf numFmtId="179" fontId="12" fillId="13" borderId="7" xfId="0" applyNumberFormat="1" applyFont="1" applyFill="1" applyBorder="1" applyAlignment="1">
      <alignment horizontal="right" vertical="center"/>
    </xf>
    <xf numFmtId="189" fontId="12" fillId="13" borderId="7" xfId="0" applyNumberFormat="1" applyFont="1" applyFill="1" applyBorder="1" applyAlignment="1">
      <alignment horizontal="right" vertical="center"/>
    </xf>
    <xf numFmtId="180" fontId="12" fillId="13" borderId="7" xfId="0" applyNumberFormat="1" applyFont="1" applyFill="1" applyBorder="1" applyAlignment="1">
      <alignment horizontal="right" vertical="center"/>
    </xf>
    <xf numFmtId="0" fontId="12" fillId="17" borderId="22" xfId="0" applyFont="1" applyFill="1" applyBorder="1" applyAlignment="1">
      <alignment horizontal="center" vertical="center"/>
    </xf>
    <xf numFmtId="1" fontId="12" fillId="17" borderId="23" xfId="0" applyNumberFormat="1" applyFont="1" applyFill="1" applyBorder="1" applyAlignment="1">
      <alignment horizontal="right" vertical="center"/>
    </xf>
    <xf numFmtId="2" fontId="12" fillId="3" borderId="23" xfId="0" applyNumberFormat="1" applyFont="1" applyFill="1" applyBorder="1" applyAlignment="1">
      <alignment horizontal="right" vertical="center"/>
    </xf>
    <xf numFmtId="179" fontId="12" fillId="17" borderId="23" xfId="0" applyNumberFormat="1" applyFont="1" applyFill="1" applyBorder="1" applyAlignment="1">
      <alignment horizontal="right" vertical="center"/>
    </xf>
    <xf numFmtId="189" fontId="12" fillId="17" borderId="23" xfId="0" applyNumberFormat="1" applyFont="1" applyFill="1" applyBorder="1" applyAlignment="1">
      <alignment horizontal="right" vertical="center"/>
    </xf>
    <xf numFmtId="0" fontId="12" fillId="17" borderId="23" xfId="0" applyFont="1" applyFill="1" applyBorder="1" applyAlignment="1">
      <alignment horizontal="center" vertical="center"/>
    </xf>
    <xf numFmtId="2" fontId="12" fillId="17" borderId="23" xfId="0" applyNumberFormat="1" applyFont="1" applyFill="1" applyBorder="1" applyAlignment="1">
      <alignment horizontal="right" vertical="center"/>
    </xf>
    <xf numFmtId="2" fontId="12" fillId="17" borderId="7" xfId="0" applyNumberFormat="1" applyFont="1" applyFill="1" applyBorder="1" applyAlignment="1">
      <alignment horizontal="right" vertical="center"/>
    </xf>
    <xf numFmtId="2" fontId="12" fillId="2" borderId="0" xfId="0" applyNumberFormat="1" applyFont="1" applyFill="1" applyAlignment="1">
      <alignment horizontal="right" vertical="center"/>
    </xf>
    <xf numFmtId="2" fontId="12" fillId="3" borderId="0" xfId="0" applyNumberFormat="1" applyFont="1" applyFill="1" applyAlignment="1">
      <alignment horizontal="right" vertical="center"/>
    </xf>
    <xf numFmtId="190" fontId="12" fillId="10" borderId="2" xfId="0" applyNumberFormat="1" applyFont="1" applyFill="1" applyBorder="1" applyAlignment="1">
      <alignment horizontal="center" vertical="center"/>
    </xf>
    <xf numFmtId="185" fontId="12" fillId="10" borderId="2" xfId="0" applyNumberFormat="1" applyFont="1" applyFill="1" applyBorder="1" applyAlignment="1">
      <alignment horizontal="center" vertical="center"/>
    </xf>
    <xf numFmtId="187" fontId="12" fillId="10" borderId="2" xfId="0" applyNumberFormat="1" applyFont="1" applyFill="1" applyBorder="1" applyAlignment="1">
      <alignment horizontal="center" vertical="center"/>
    </xf>
    <xf numFmtId="177" fontId="14" fillId="10" borderId="2" xfId="0" applyNumberFormat="1" applyFont="1" applyFill="1" applyBorder="1" applyAlignment="1">
      <alignment horizontal="center" vertical="center"/>
    </xf>
    <xf numFmtId="178" fontId="13" fillId="10" borderId="2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7" xfId="0" applyFont="1" applyFill="1" applyBorder="1">
      <alignment vertical="center"/>
    </xf>
    <xf numFmtId="0" fontId="12" fillId="13" borderId="2" xfId="0" applyFont="1" applyFill="1" applyBorder="1" applyAlignment="1">
      <alignment horizontal="center" vertical="center"/>
    </xf>
    <xf numFmtId="1" fontId="10" fillId="13" borderId="2" xfId="0" applyNumberFormat="1" applyFont="1" applyFill="1" applyBorder="1">
      <alignment vertical="center"/>
    </xf>
    <xf numFmtId="180" fontId="10" fillId="13" borderId="2" xfId="0" applyNumberFormat="1" applyFont="1" applyFill="1" applyBorder="1">
      <alignment vertical="center"/>
    </xf>
    <xf numFmtId="2" fontId="10" fillId="0" borderId="2" xfId="0" applyNumberFormat="1" applyFont="1" applyBorder="1">
      <alignment vertical="center"/>
    </xf>
    <xf numFmtId="2" fontId="10" fillId="13" borderId="2" xfId="0" applyNumberFormat="1" applyFont="1" applyFill="1" applyBorder="1">
      <alignment vertical="center"/>
    </xf>
    <xf numFmtId="2" fontId="10" fillId="8" borderId="2" xfId="0" applyNumberFormat="1" applyFont="1" applyFill="1" applyBorder="1">
      <alignment vertical="center"/>
    </xf>
    <xf numFmtId="179" fontId="10" fillId="0" borderId="7" xfId="0" applyNumberFormat="1" applyFont="1" applyBorder="1">
      <alignment vertical="center"/>
    </xf>
    <xf numFmtId="0" fontId="10" fillId="0" borderId="7" xfId="0" applyFont="1" applyBorder="1">
      <alignment vertical="center"/>
    </xf>
    <xf numFmtId="0" fontId="12" fillId="17" borderId="2" xfId="0" applyFont="1" applyFill="1" applyBorder="1" applyAlignment="1">
      <alignment horizontal="center" vertical="center"/>
    </xf>
    <xf numFmtId="1" fontId="10" fillId="17" borderId="2" xfId="0" applyNumberFormat="1" applyFont="1" applyFill="1" applyBorder="1">
      <alignment vertical="center"/>
    </xf>
    <xf numFmtId="180" fontId="10" fillId="17" borderId="2" xfId="0" applyNumberFormat="1" applyFont="1" applyFill="1" applyBorder="1">
      <alignment vertical="center"/>
    </xf>
    <xf numFmtId="2" fontId="10" fillId="17" borderId="2" xfId="0" applyNumberFormat="1" applyFont="1" applyFill="1" applyBorder="1">
      <alignment vertical="center"/>
    </xf>
    <xf numFmtId="0" fontId="12" fillId="8" borderId="2" xfId="0" applyFont="1" applyFill="1" applyBorder="1" applyAlignment="1">
      <alignment horizontal="center" vertical="center"/>
    </xf>
    <xf numFmtId="1" fontId="10" fillId="8" borderId="2" xfId="0" applyNumberFormat="1" applyFont="1" applyFill="1" applyBorder="1">
      <alignment vertical="center"/>
    </xf>
    <xf numFmtId="180" fontId="10" fillId="8" borderId="2" xfId="0" applyNumberFormat="1" applyFont="1" applyFill="1" applyBorder="1">
      <alignment vertical="center"/>
    </xf>
    <xf numFmtId="0" fontId="12" fillId="11" borderId="2" xfId="0" applyFont="1" applyFill="1" applyBorder="1" applyAlignment="1">
      <alignment horizontal="center" vertical="center"/>
    </xf>
    <xf numFmtId="1" fontId="10" fillId="11" borderId="2" xfId="0" applyNumberFormat="1" applyFont="1" applyFill="1" applyBorder="1">
      <alignment vertical="center"/>
    </xf>
    <xf numFmtId="180" fontId="10" fillId="11" borderId="2" xfId="0" applyNumberFormat="1" applyFont="1" applyFill="1" applyBorder="1">
      <alignment vertical="center"/>
    </xf>
    <xf numFmtId="2" fontId="10" fillId="11" borderId="2" xfId="0" applyNumberFormat="1" applyFont="1" applyFill="1" applyBorder="1">
      <alignment vertical="center"/>
    </xf>
    <xf numFmtId="0" fontId="12" fillId="6" borderId="2" xfId="0" applyFont="1" applyFill="1" applyBorder="1" applyAlignment="1">
      <alignment horizontal="center" vertical="center"/>
    </xf>
    <xf numFmtId="1" fontId="10" fillId="6" borderId="2" xfId="0" applyNumberFormat="1" applyFont="1" applyFill="1" applyBorder="1">
      <alignment vertical="center"/>
    </xf>
    <xf numFmtId="180" fontId="10" fillId="6" borderId="2" xfId="0" applyNumberFormat="1" applyFont="1" applyFill="1" applyBorder="1">
      <alignment vertical="center"/>
    </xf>
    <xf numFmtId="2" fontId="10" fillId="6" borderId="2" xfId="0" applyNumberFormat="1" applyFont="1" applyFill="1" applyBorder="1">
      <alignment vertical="center"/>
    </xf>
    <xf numFmtId="0" fontId="12" fillId="3" borderId="2" xfId="0" applyFont="1" applyFill="1" applyBorder="1" applyAlignment="1">
      <alignment horizontal="center" vertical="center"/>
    </xf>
    <xf numFmtId="1" fontId="10" fillId="3" borderId="2" xfId="0" applyNumberFormat="1" applyFont="1" applyFill="1" applyBorder="1">
      <alignment vertical="center"/>
    </xf>
    <xf numFmtId="180" fontId="10" fillId="3" borderId="2" xfId="0" applyNumberFormat="1" applyFont="1" applyFill="1" applyBorder="1">
      <alignment vertical="center"/>
    </xf>
    <xf numFmtId="2" fontId="10" fillId="3" borderId="2" xfId="0" applyNumberFormat="1" applyFont="1" applyFill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2" fontId="10" fillId="0" borderId="7" xfId="0" applyNumberFormat="1" applyFont="1" applyBorder="1">
      <alignment vertical="center"/>
    </xf>
    <xf numFmtId="0" fontId="25" fillId="3" borderId="0" xfId="0" applyFont="1" applyFill="1">
      <alignment vertical="center"/>
    </xf>
    <xf numFmtId="0" fontId="12" fillId="2" borderId="0" xfId="0" applyFont="1" applyFill="1" applyAlignment="1">
      <alignment horizontal="centerContinuous" vertical="center"/>
    </xf>
    <xf numFmtId="0" fontId="10" fillId="2" borderId="0" xfId="0" applyFont="1" applyFill="1" applyAlignment="1">
      <alignment horizontal="centerContinuous" vertical="center"/>
    </xf>
    <xf numFmtId="0" fontId="4" fillId="13" borderId="7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left" vertical="center" wrapText="1"/>
    </xf>
    <xf numFmtId="2" fontId="2" fillId="0" borderId="7" xfId="0" applyNumberFormat="1" applyFont="1" applyBorder="1">
      <alignment vertical="center"/>
    </xf>
    <xf numFmtId="2" fontId="17" fillId="11" borderId="7" xfId="0" applyNumberFormat="1" applyFont="1" applyFill="1" applyBorder="1" applyAlignment="1">
      <alignment horizontal="right" vertical="center" wrapText="1"/>
    </xf>
    <xf numFmtId="191" fontId="10" fillId="0" borderId="0" xfId="0" applyNumberFormat="1" applyFont="1">
      <alignment vertical="center"/>
    </xf>
    <xf numFmtId="0" fontId="17" fillId="27" borderId="7" xfId="0" applyFont="1" applyFill="1" applyBorder="1" applyAlignment="1">
      <alignment horizontal="left" vertical="center" wrapText="1"/>
    </xf>
    <xf numFmtId="9" fontId="2" fillId="0" borderId="7" xfId="0" applyNumberFormat="1" applyFont="1" applyBorder="1">
      <alignment vertical="center"/>
    </xf>
    <xf numFmtId="10" fontId="17" fillId="27" borderId="7" xfId="1" applyNumberFormat="1" applyFont="1" applyFill="1" applyBorder="1" applyAlignment="1">
      <alignment horizontal="right" vertical="center" wrapText="1"/>
    </xf>
    <xf numFmtId="0" fontId="2" fillId="0" borderId="7" xfId="0" applyFont="1" applyBorder="1">
      <alignment vertical="center"/>
    </xf>
    <xf numFmtId="192" fontId="10" fillId="0" borderId="0" xfId="0" applyNumberFormat="1" applyFont="1">
      <alignment vertical="center"/>
    </xf>
    <xf numFmtId="180" fontId="2" fillId="0" borderId="7" xfId="0" applyNumberFormat="1" applyFont="1" applyBorder="1">
      <alignment vertical="center"/>
    </xf>
    <xf numFmtId="180" fontId="17" fillId="11" borderId="7" xfId="0" applyNumberFormat="1" applyFont="1" applyFill="1" applyBorder="1" applyAlignment="1">
      <alignment horizontal="right" vertical="center" wrapText="1"/>
    </xf>
    <xf numFmtId="180" fontId="17" fillId="27" borderId="7" xfId="0" applyNumberFormat="1" applyFont="1" applyFill="1" applyBorder="1" applyAlignment="1">
      <alignment horizontal="right" vertical="center" wrapText="1"/>
    </xf>
    <xf numFmtId="180" fontId="2" fillId="3" borderId="7" xfId="0" applyNumberFormat="1" applyFont="1" applyFill="1" applyBorder="1">
      <alignment vertical="center"/>
    </xf>
    <xf numFmtId="180" fontId="2" fillId="10" borderId="7" xfId="0" applyNumberFormat="1" applyFont="1" applyFill="1" applyBorder="1">
      <alignment vertical="center"/>
    </xf>
    <xf numFmtId="0" fontId="17" fillId="27" borderId="7" xfId="0" applyFont="1" applyFill="1" applyBorder="1" applyAlignment="1">
      <alignment horizontal="right" vertical="center" wrapText="1"/>
    </xf>
    <xf numFmtId="2" fontId="17" fillId="27" borderId="7" xfId="1" applyNumberFormat="1" applyFont="1" applyFill="1" applyBorder="1" applyAlignment="1">
      <alignment horizontal="right" vertical="center" wrapText="1"/>
    </xf>
    <xf numFmtId="0" fontId="2" fillId="0" borderId="7" xfId="1" applyNumberFormat="1" applyFont="1" applyBorder="1">
      <alignment vertical="center"/>
    </xf>
    <xf numFmtId="2" fontId="17" fillId="11" borderId="7" xfId="1" applyNumberFormat="1" applyFont="1" applyFill="1" applyBorder="1" applyAlignment="1">
      <alignment horizontal="right" vertical="center" wrapText="1"/>
    </xf>
    <xf numFmtId="0" fontId="10" fillId="28" borderId="0" xfId="0" applyFont="1" applyFill="1">
      <alignment vertical="center"/>
    </xf>
    <xf numFmtId="0" fontId="2" fillId="10" borderId="7" xfId="0" applyFont="1" applyFill="1" applyBorder="1">
      <alignment vertical="center"/>
    </xf>
    <xf numFmtId="2" fontId="4" fillId="3" borderId="7" xfId="0" applyNumberFormat="1" applyFont="1" applyFill="1" applyBorder="1">
      <alignment vertical="center"/>
    </xf>
    <xf numFmtId="2" fontId="2" fillId="3" borderId="7" xfId="0" applyNumberFormat="1" applyFont="1" applyFill="1" applyBorder="1">
      <alignment vertical="center"/>
    </xf>
    <xf numFmtId="2" fontId="2" fillId="10" borderId="7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26" fillId="9" borderId="6" xfId="0" applyFont="1" applyFill="1" applyBorder="1" applyAlignment="1">
      <alignment horizontal="center" vertical="center" wrapText="1"/>
    </xf>
    <xf numFmtId="0" fontId="26" fillId="9" borderId="7" xfId="0" applyFont="1" applyFill="1" applyBorder="1" applyAlignment="1">
      <alignment horizontal="center" vertical="center" wrapText="1"/>
    </xf>
    <xf numFmtId="0" fontId="26" fillId="9" borderId="7" xfId="0" applyFont="1" applyFill="1" applyBorder="1" applyAlignment="1">
      <alignment horizontal="center" vertical="center"/>
    </xf>
    <xf numFmtId="2" fontId="26" fillId="29" borderId="7" xfId="0" applyNumberFormat="1" applyFont="1" applyFill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2" fontId="26" fillId="3" borderId="7" xfId="0" applyNumberFormat="1" applyFont="1" applyFill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2" fontId="26" fillId="13" borderId="7" xfId="0" applyNumberFormat="1" applyFont="1" applyFill="1" applyBorder="1" applyAlignment="1">
      <alignment vertical="center" wrapText="1"/>
    </xf>
    <xf numFmtId="2" fontId="26" fillId="30" borderId="7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4" fillId="2" borderId="0" xfId="0" applyFont="1" applyFill="1" applyAlignment="1">
      <alignment horizontal="centerContinuous" vertical="center"/>
    </xf>
    <xf numFmtId="10" fontId="2" fillId="0" borderId="7" xfId="0" applyNumberFormat="1" applyFont="1" applyBorder="1">
      <alignment vertical="center"/>
    </xf>
    <xf numFmtId="0" fontId="4" fillId="2" borderId="0" xfId="0" applyFont="1" applyFill="1" applyAlignment="1">
      <alignment horizontal="centerContinuous" vertical="center" wrapText="1"/>
    </xf>
    <xf numFmtId="0" fontId="3" fillId="0" borderId="7" xfId="0" applyFont="1" applyBorder="1">
      <alignment vertical="center"/>
    </xf>
    <xf numFmtId="1" fontId="10" fillId="8" borderId="4" xfId="0" applyNumberFormat="1" applyFont="1" applyFill="1" applyBorder="1" applyAlignment="1">
      <alignment horizontal="center" vertical="center"/>
    </xf>
    <xf numFmtId="191" fontId="34" fillId="33" borderId="6" xfId="0" applyNumberFormat="1" applyFont="1" applyFill="1" applyBorder="1" applyAlignment="1">
      <alignment horizontal="center" vertical="center" wrapText="1"/>
    </xf>
    <xf numFmtId="191" fontId="34" fillId="9" borderId="6" xfId="0" applyNumberFormat="1" applyFont="1" applyFill="1" applyBorder="1" applyAlignment="1">
      <alignment horizontal="center" vertical="center" wrapText="1"/>
    </xf>
    <xf numFmtId="191" fontId="34" fillId="9" borderId="26" xfId="0" applyNumberFormat="1" applyFont="1" applyFill="1" applyBorder="1" applyAlignment="1">
      <alignment horizontal="center" vertical="center" wrapText="1"/>
    </xf>
    <xf numFmtId="191" fontId="34" fillId="33" borderId="20" xfId="0" applyNumberFormat="1" applyFont="1" applyFill="1" applyBorder="1" applyAlignment="1">
      <alignment horizontal="center" vertical="center" wrapText="1"/>
    </xf>
    <xf numFmtId="191" fontId="34" fillId="9" borderId="20" xfId="0" applyNumberFormat="1" applyFont="1" applyFill="1" applyBorder="1" applyAlignment="1">
      <alignment horizontal="center" vertical="center" wrapText="1"/>
    </xf>
    <xf numFmtId="191" fontId="34" fillId="9" borderId="27" xfId="0" applyNumberFormat="1" applyFont="1" applyFill="1" applyBorder="1" applyAlignment="1">
      <alignment horizontal="center" vertical="center" wrapText="1"/>
    </xf>
    <xf numFmtId="193" fontId="32" fillId="31" borderId="7" xfId="4" applyNumberFormat="1" applyBorder="1" applyAlignment="1">
      <alignment horizontal="center" vertical="center" wrapText="1"/>
    </xf>
    <xf numFmtId="2" fontId="33" fillId="32" borderId="7" xfId="5" applyNumberFormat="1" applyBorder="1">
      <alignment vertical="center"/>
    </xf>
    <xf numFmtId="0" fontId="0" fillId="0" borderId="7" xfId="0" applyBorder="1" applyAlignment="1">
      <alignment horizontal="center" vertical="center"/>
    </xf>
    <xf numFmtId="180" fontId="10" fillId="11" borderId="4" xfId="0" applyNumberFormat="1" applyFont="1" applyFill="1" applyBorder="1" applyAlignment="1">
      <alignment horizontal="center" vertical="center"/>
    </xf>
    <xf numFmtId="180" fontId="10" fillId="10" borderId="4" xfId="0" applyNumberFormat="1" applyFont="1" applyFill="1" applyBorder="1" applyAlignment="1">
      <alignment horizontal="center" vertical="center"/>
    </xf>
    <xf numFmtId="180" fontId="10" fillId="13" borderId="4" xfId="0" applyNumberFormat="1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2" fillId="26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25" borderId="13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 wrapText="1"/>
    </xf>
    <xf numFmtId="0" fontId="12" fillId="25" borderId="20" xfId="0" applyFont="1" applyFill="1" applyBorder="1" applyAlignment="1">
      <alignment horizontal="center" vertical="center"/>
    </xf>
    <xf numFmtId="0" fontId="12" fillId="25" borderId="21" xfId="0" applyFont="1" applyFill="1" applyBorder="1" applyAlignment="1">
      <alignment horizontal="center" vertical="center"/>
    </xf>
    <xf numFmtId="0" fontId="12" fillId="25" borderId="6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24" borderId="12" xfId="0" applyFont="1" applyFill="1" applyBorder="1" applyAlignment="1">
      <alignment horizontal="center" vertical="center"/>
    </xf>
    <xf numFmtId="0" fontId="12" fillId="24" borderId="7" xfId="0" applyFont="1" applyFill="1" applyBorder="1" applyAlignment="1">
      <alignment horizontal="center" vertical="center"/>
    </xf>
    <xf numFmtId="0" fontId="12" fillId="25" borderId="12" xfId="0" applyFont="1" applyFill="1" applyBorder="1" applyAlignment="1">
      <alignment horizontal="center" vertical="center"/>
    </xf>
    <xf numFmtId="0" fontId="12" fillId="25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1" fontId="10" fillId="27" borderId="2" xfId="0" applyNumberFormat="1" applyFont="1" applyFill="1" applyBorder="1" applyAlignment="1">
      <alignment horizontal="center" vertical="center"/>
    </xf>
    <xf numFmtId="2" fontId="12" fillId="27" borderId="2" xfId="0" applyNumberFormat="1" applyFont="1" applyFill="1" applyBorder="1">
      <alignment vertical="center"/>
    </xf>
    <xf numFmtId="185" fontId="10" fillId="27" borderId="2" xfId="0" applyNumberFormat="1" applyFont="1" applyFill="1" applyBorder="1" applyAlignment="1">
      <alignment horizontal="center" vertical="center"/>
    </xf>
    <xf numFmtId="186" fontId="10" fillId="27" borderId="2" xfId="0" applyNumberFormat="1" applyFont="1" applyFill="1" applyBorder="1" applyAlignment="1">
      <alignment horizontal="center" vertical="center"/>
    </xf>
    <xf numFmtId="187" fontId="10" fillId="27" borderId="2" xfId="0" applyNumberFormat="1" applyFont="1" applyFill="1" applyBorder="1" applyAlignment="1">
      <alignment horizontal="center" vertical="center"/>
    </xf>
    <xf numFmtId="180" fontId="1" fillId="0" borderId="7" xfId="0" applyNumberFormat="1" applyFont="1" applyBorder="1">
      <alignment vertical="center"/>
    </xf>
    <xf numFmtId="2" fontId="17" fillId="34" borderId="7" xfId="0" applyNumberFormat="1" applyFont="1" applyFill="1" applyBorder="1" applyAlignment="1">
      <alignment horizontal="right" vertical="center" wrapText="1"/>
    </xf>
    <xf numFmtId="180" fontId="17" fillId="34" borderId="7" xfId="0" applyNumberFormat="1" applyFont="1" applyFill="1" applyBorder="1" applyAlignment="1">
      <alignment horizontal="right" vertical="center" wrapText="1"/>
    </xf>
    <xf numFmtId="2" fontId="1" fillId="3" borderId="7" xfId="0" applyNumberFormat="1" applyFont="1" applyFill="1" applyBorder="1">
      <alignment vertical="center"/>
    </xf>
    <xf numFmtId="179" fontId="12" fillId="4" borderId="7" xfId="0" applyNumberFormat="1" applyFont="1" applyFill="1" applyBorder="1" applyAlignment="1">
      <alignment horizontal="right" vertical="center"/>
    </xf>
    <xf numFmtId="189" fontId="12" fillId="4" borderId="7" xfId="0" applyNumberFormat="1" applyFont="1" applyFill="1" applyBorder="1" applyAlignment="1">
      <alignment horizontal="right" vertical="center"/>
    </xf>
    <xf numFmtId="1" fontId="12" fillId="4" borderId="7" xfId="0" applyNumberFormat="1" applyFont="1" applyFill="1" applyBorder="1" applyAlignment="1">
      <alignment horizontal="right" vertical="center"/>
    </xf>
    <xf numFmtId="0" fontId="12" fillId="4" borderId="7" xfId="0" applyFont="1" applyFill="1" applyBorder="1" applyAlignment="1">
      <alignment horizontal="center" vertical="center"/>
    </xf>
    <xf numFmtId="2" fontId="10" fillId="27" borderId="2" xfId="0" applyNumberFormat="1" applyFont="1" applyFill="1" applyBorder="1">
      <alignment vertical="center"/>
    </xf>
    <xf numFmtId="0" fontId="10" fillId="34" borderId="6" xfId="0" applyFont="1" applyFill="1" applyBorder="1" applyAlignment="1">
      <alignment horizontal="right" vertical="center"/>
    </xf>
    <xf numFmtId="0" fontId="10" fillId="34" borderId="7" xfId="0" applyFont="1" applyFill="1" applyBorder="1" applyAlignment="1">
      <alignment horizontal="right" vertical="center"/>
    </xf>
    <xf numFmtId="179" fontId="10" fillId="4" borderId="2" xfId="0" applyNumberFormat="1" applyFont="1" applyFill="1" applyBorder="1">
      <alignment vertical="center"/>
    </xf>
    <xf numFmtId="10" fontId="17" fillId="27" borderId="7" xfId="6" applyNumberFormat="1" applyFont="1" applyFill="1" applyBorder="1" applyAlignment="1">
      <alignment horizontal="right" vertical="center"/>
    </xf>
  </cellXfs>
  <cellStyles count="7">
    <cellStyle name="百分比" xfId="1" builtinId="5"/>
    <cellStyle name="百分比 2" xfId="6" xr:uid="{794C5CF5-66E8-46BB-A565-F999932A5CC9}"/>
    <cellStyle name="常规" xfId="0" builtinId="0"/>
    <cellStyle name="常规 2 2" xfId="3" xr:uid="{95DE289D-38F9-48BC-9DA0-97EA0D31E57B}"/>
    <cellStyle name="常规 4" xfId="2" xr:uid="{16112024-C014-48C0-975D-F38FD7FA02AD}"/>
    <cellStyle name="计算" xfId="5" builtinId="22"/>
    <cellStyle name="输入" xfId="4" builtinId="20"/>
  </cellStyles>
  <dxfs count="2">
    <dxf>
      <font>
        <color rgb="FF000000"/>
      </font>
    </dxf>
    <dxf>
      <font>
        <color rgb="FFFF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73BAE4\&#28020;&#23460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39044;&#31639;&#32534;&#21046;\2025&#24180;\&#12304;&#30005;&#21147;&#12305;2025&#24180;&#24230;&#39044;&#31639;-10.30&#29256;&#65288;&#24503;&#20445;5.25&#23436;&#25104;&#65289;&#26356;&#26032;&#21378;&#29992;&#30005;&#26368;&#32456;.xlsx" TargetMode="External"/><Relationship Id="rId1" Type="http://schemas.openxmlformats.org/officeDocument/2006/relationships/externalLinkPath" Target="/&#39044;&#31639;&#32534;&#21046;/2025&#24180;/&#12304;&#30005;&#21147;&#12305;2025&#24180;&#24230;&#39044;&#31639;-10.30&#29256;&#65288;&#24503;&#20445;5.25&#23436;&#25104;&#65289;&#26356;&#26032;&#21378;&#29992;&#30005;&#26368;&#324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tandardeingabemaske"/>
      <sheetName val="Ermittlung Zeitdaten"/>
      <sheetName val="Produktbeschreibungen"/>
      <sheetName val="Master PPL"/>
    </sheetNames>
    <definedNames>
      <definedName name="EUReXToATS"/>
      <definedName name="EUReXToBEF"/>
      <definedName name="EUReXToDEM"/>
      <definedName name="EUReXToESP"/>
      <definedName name="EUReXToFIM"/>
      <definedName name="EUReXToFRF"/>
      <definedName name="EUReXToIEP"/>
      <definedName name="EUReXToITL"/>
      <definedName name="EUReXToLUF"/>
      <definedName name="EUReXToNLG"/>
      <definedName name="EUReXToP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计算稿"/>
      <sheetName val="封面"/>
      <sheetName val="编制说明"/>
      <sheetName val="甲供材"/>
      <sheetName val="费率表"/>
      <sheetName val="Sheet4"/>
      <sheetName val="存"/>
      <sheetName val="eqpmad2"/>
      <sheetName val="数据源"/>
      <sheetName val="Vols&amp;Fixed Costs"/>
      <sheetName val="Operating Plan Changes"/>
      <sheetName val="银海电"/>
      <sheetName val="田东电"/>
      <sheetName val="德保电"/>
      <sheetName val="电力合并"/>
      <sheetName val="百矿电"/>
      <sheetName val="Lookups"/>
      <sheetName val="MSS alt"/>
      <sheetName val="Kosten aus 1999"/>
      <sheetName val="Allgemeines"/>
      <sheetName val="管报费用分类"/>
      <sheetName val="Smart View INPUT"/>
      <sheetName val="12.09 Fcst"/>
      <sheetName val="12.10 Bud"/>
      <sheetName val="美日管理费用6"/>
      <sheetName val="Master PPL"/>
      <sheetName val="Code"/>
      <sheetName val="Summary"/>
      <sheetName val="Sheet3"/>
      <sheetName val="数据有效性"/>
      <sheetName val="Allgemein"/>
      <sheetName val="Technologie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四合一（终版）"/>
      <sheetName val="采购版"/>
      <sheetName val="各厂修正曲线函数"/>
      <sheetName val="用煤汇总 (秋杨)"/>
      <sheetName val="新铝指标"/>
      <sheetName val="新铝三类分解"/>
      <sheetName val="采购参数"/>
      <sheetName val="电解汇总"/>
      <sheetName val="电解铝"/>
      <sheetName val="机组参数"/>
      <sheetName val="设置参数"/>
      <sheetName val="煤参数"/>
      <sheetName val="用煤汇总"/>
      <sheetName val="利润成本"/>
      <sheetName val="电力-指标"/>
      <sheetName val="检修计划"/>
      <sheetName val="年度计划分解表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电力02表"/>
      <sheetName val="百矿电厂02表"/>
      <sheetName val="德保电厂02表"/>
      <sheetName val="银海电厂02表"/>
      <sheetName val="田东电厂02表"/>
      <sheetName val="水电厂02表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2023年10月至2024年12月煤炭采购参数</v>
          </cell>
        </row>
        <row r="2">
          <cell r="A2" t="str">
            <v>田东</v>
          </cell>
          <cell r="G2" t="str">
            <v>百矿、银海、德保</v>
          </cell>
        </row>
        <row r="3">
          <cell r="A3" t="str">
            <v>煤种</v>
          </cell>
        </row>
        <row r="4">
          <cell r="A4" t="str">
            <v>东怀</v>
          </cell>
          <cell r="B4">
            <v>2349.9772727272698</v>
          </cell>
          <cell r="C4">
            <v>8.68</v>
          </cell>
          <cell r="D4">
            <v>51.35</v>
          </cell>
          <cell r="E4">
            <v>0.83497431883879003</v>
          </cell>
          <cell r="F4">
            <v>55</v>
          </cell>
          <cell r="G4" t="str">
            <v>东怀</v>
          </cell>
          <cell r="H4">
            <v>2349.9772727272698</v>
          </cell>
          <cell r="I4">
            <v>8.68</v>
          </cell>
          <cell r="J4">
            <v>51.35</v>
          </cell>
          <cell r="K4">
            <v>0.83497431883879003</v>
          </cell>
          <cell r="L4">
            <v>55</v>
          </cell>
        </row>
        <row r="5">
          <cell r="A5" t="str">
            <v>跃进</v>
          </cell>
          <cell r="B5">
            <v>1650.068</v>
          </cell>
          <cell r="C5">
            <v>9.3621270541685107</v>
          </cell>
          <cell r="D5">
            <v>61.227066391557997</v>
          </cell>
          <cell r="E5">
            <v>0.35969191635526898</v>
          </cell>
          <cell r="F5">
            <v>55</v>
          </cell>
          <cell r="G5" t="str">
            <v>跃进</v>
          </cell>
          <cell r="H5">
            <v>1650.068</v>
          </cell>
          <cell r="I5">
            <v>9.3621270541685107</v>
          </cell>
          <cell r="J5">
            <v>61.227066391557997</v>
          </cell>
          <cell r="K5">
            <v>0.35969191635526898</v>
          </cell>
          <cell r="L5">
            <v>55</v>
          </cell>
        </row>
        <row r="6">
          <cell r="A6" t="str">
            <v>州景</v>
          </cell>
          <cell r="B6">
            <v>1749.9666666666601</v>
          </cell>
          <cell r="C6">
            <v>11.7478900244825</v>
          </cell>
          <cell r="D6">
            <v>53.715896200847602</v>
          </cell>
          <cell r="E6">
            <v>0.52938729645379501</v>
          </cell>
          <cell r="F6">
            <v>55</v>
          </cell>
          <cell r="G6" t="str">
            <v>州景</v>
          </cell>
          <cell r="H6">
            <v>1749.9666666666601</v>
          </cell>
          <cell r="I6">
            <v>11.7478900244825</v>
          </cell>
          <cell r="J6">
            <v>53.715896200847602</v>
          </cell>
          <cell r="K6">
            <v>0.52938729645379501</v>
          </cell>
          <cell r="L6">
            <v>55</v>
          </cell>
        </row>
        <row r="7">
          <cell r="A7" t="str">
            <v>那荷</v>
          </cell>
          <cell r="B7">
            <v>1600</v>
          </cell>
          <cell r="C7">
            <v>8.42904986875104</v>
          </cell>
          <cell r="D7">
            <v>72.872681482988895</v>
          </cell>
          <cell r="E7">
            <v>0.315776184278526</v>
          </cell>
          <cell r="F7">
            <v>55</v>
          </cell>
          <cell r="G7" t="str">
            <v>那荷</v>
          </cell>
          <cell r="H7">
            <v>1600</v>
          </cell>
          <cell r="I7">
            <v>8.42904986875104</v>
          </cell>
          <cell r="J7">
            <v>72.872681482988895</v>
          </cell>
          <cell r="K7">
            <v>0.315776184278526</v>
          </cell>
          <cell r="L7">
            <v>55</v>
          </cell>
        </row>
        <row r="8">
          <cell r="A8" t="str">
            <v>褐煤20-1</v>
          </cell>
          <cell r="B8">
            <v>2000</v>
          </cell>
          <cell r="C8">
            <v>50</v>
          </cell>
          <cell r="D8">
            <v>10</v>
          </cell>
          <cell r="E8">
            <v>0.5</v>
          </cell>
          <cell r="F8">
            <v>30</v>
          </cell>
          <cell r="G8" t="str">
            <v>褐煤20-1</v>
          </cell>
          <cell r="H8">
            <v>2000</v>
          </cell>
          <cell r="I8">
            <v>55</v>
          </cell>
          <cell r="J8">
            <v>15</v>
          </cell>
          <cell r="K8">
            <v>1</v>
          </cell>
          <cell r="L8">
            <v>30</v>
          </cell>
        </row>
        <row r="9">
          <cell r="A9" t="str">
            <v>褐煤20</v>
          </cell>
          <cell r="B9">
            <v>2000</v>
          </cell>
          <cell r="C9">
            <v>20</v>
          </cell>
          <cell r="D9">
            <v>55</v>
          </cell>
          <cell r="E9">
            <v>1</v>
          </cell>
          <cell r="F9">
            <v>50</v>
          </cell>
          <cell r="G9" t="str">
            <v>褐煤20</v>
          </cell>
          <cell r="H9">
            <v>2000</v>
          </cell>
          <cell r="I9">
            <v>35</v>
          </cell>
          <cell r="J9">
            <v>35</v>
          </cell>
          <cell r="K9">
            <v>1.5</v>
          </cell>
          <cell r="L9">
            <v>30</v>
          </cell>
        </row>
        <row r="10">
          <cell r="A10" t="str">
            <v>褐煤22</v>
          </cell>
          <cell r="B10">
            <v>2200</v>
          </cell>
          <cell r="C10">
            <v>20</v>
          </cell>
          <cell r="D10">
            <v>50</v>
          </cell>
          <cell r="E10">
            <v>1.5</v>
          </cell>
          <cell r="F10">
            <v>50</v>
          </cell>
          <cell r="G10" t="str">
            <v>褐煤22</v>
          </cell>
          <cell r="H10">
            <v>2200</v>
          </cell>
          <cell r="I10">
            <v>35</v>
          </cell>
          <cell r="J10">
            <v>35</v>
          </cell>
          <cell r="K10">
            <v>1.5</v>
          </cell>
          <cell r="L10">
            <v>30</v>
          </cell>
        </row>
        <row r="11">
          <cell r="A11" t="str">
            <v>褐煤25</v>
          </cell>
          <cell r="B11">
            <v>2500</v>
          </cell>
          <cell r="C11">
            <v>20</v>
          </cell>
          <cell r="D11">
            <v>45</v>
          </cell>
          <cell r="E11">
            <v>1.2</v>
          </cell>
          <cell r="F11">
            <v>45</v>
          </cell>
          <cell r="G11" t="str">
            <v>褐煤25</v>
          </cell>
          <cell r="H11">
            <v>2500</v>
          </cell>
          <cell r="I11">
            <v>35</v>
          </cell>
          <cell r="J11">
            <v>35</v>
          </cell>
          <cell r="K11">
            <v>1.5</v>
          </cell>
          <cell r="L11">
            <v>35</v>
          </cell>
        </row>
        <row r="12">
          <cell r="A12" t="str">
            <v>褐煤28</v>
          </cell>
          <cell r="B12">
            <v>2800</v>
          </cell>
          <cell r="C12">
            <v>20</v>
          </cell>
          <cell r="D12">
            <v>45</v>
          </cell>
          <cell r="E12">
            <v>1.2</v>
          </cell>
          <cell r="F12">
            <v>35</v>
          </cell>
          <cell r="G12" t="str">
            <v>褐煤28</v>
          </cell>
          <cell r="H12">
            <v>2800</v>
          </cell>
          <cell r="I12">
            <v>35</v>
          </cell>
          <cell r="J12">
            <v>35</v>
          </cell>
          <cell r="K12">
            <v>1.5</v>
          </cell>
          <cell r="L12">
            <v>35</v>
          </cell>
        </row>
        <row r="13">
          <cell r="A13" t="str">
            <v>褐煤30</v>
          </cell>
          <cell r="B13">
            <v>3000</v>
          </cell>
          <cell r="C13">
            <v>18</v>
          </cell>
          <cell r="D13">
            <v>45</v>
          </cell>
          <cell r="E13">
            <v>1.2</v>
          </cell>
          <cell r="F13">
            <v>35</v>
          </cell>
          <cell r="G13" t="str">
            <v>褐煤30</v>
          </cell>
          <cell r="H13">
            <v>3000</v>
          </cell>
          <cell r="I13">
            <v>30</v>
          </cell>
          <cell r="J13">
            <v>30</v>
          </cell>
          <cell r="K13">
            <v>1.3</v>
          </cell>
          <cell r="L13">
            <v>35</v>
          </cell>
        </row>
        <row r="14">
          <cell r="A14" t="str">
            <v>褐煤35</v>
          </cell>
          <cell r="B14">
            <v>3500</v>
          </cell>
          <cell r="C14">
            <v>18</v>
          </cell>
          <cell r="D14">
            <v>40</v>
          </cell>
          <cell r="E14">
            <v>1.2</v>
          </cell>
          <cell r="F14">
            <v>35</v>
          </cell>
          <cell r="G14" t="str">
            <v>褐煤35</v>
          </cell>
          <cell r="H14">
            <v>3500</v>
          </cell>
          <cell r="I14">
            <v>30</v>
          </cell>
          <cell r="J14">
            <v>30</v>
          </cell>
          <cell r="K14">
            <v>1.3</v>
          </cell>
          <cell r="L14">
            <v>35</v>
          </cell>
        </row>
        <row r="15">
          <cell r="A15" t="str">
            <v>褐煤40</v>
          </cell>
          <cell r="B15">
            <v>4000</v>
          </cell>
          <cell r="C15">
            <v>18</v>
          </cell>
          <cell r="D15">
            <v>25</v>
          </cell>
          <cell r="E15">
            <v>1</v>
          </cell>
          <cell r="F15">
            <v>35</v>
          </cell>
          <cell r="G15" t="str">
            <v>褐煤40</v>
          </cell>
          <cell r="H15">
            <v>4000</v>
          </cell>
          <cell r="I15">
            <v>20</v>
          </cell>
          <cell r="J15">
            <v>25</v>
          </cell>
          <cell r="K15">
            <v>1</v>
          </cell>
          <cell r="L15">
            <v>35</v>
          </cell>
        </row>
        <row r="16">
          <cell r="A16" t="str">
            <v>褐煤45</v>
          </cell>
          <cell r="B16">
            <v>4500</v>
          </cell>
          <cell r="C16">
            <v>18</v>
          </cell>
          <cell r="D16">
            <v>25</v>
          </cell>
          <cell r="E16">
            <v>1</v>
          </cell>
          <cell r="F16">
            <v>35</v>
          </cell>
          <cell r="G16" t="str">
            <v>褐煤45</v>
          </cell>
          <cell r="H16">
            <v>4500</v>
          </cell>
          <cell r="I16">
            <v>20</v>
          </cell>
          <cell r="J16">
            <v>25</v>
          </cell>
          <cell r="K16">
            <v>1</v>
          </cell>
          <cell r="L16">
            <v>35</v>
          </cell>
        </row>
        <row r="17">
          <cell r="A17" t="str">
            <v>褐煤50</v>
          </cell>
          <cell r="B17">
            <v>5000</v>
          </cell>
          <cell r="C17">
            <v>12</v>
          </cell>
          <cell r="D17">
            <v>20</v>
          </cell>
          <cell r="E17">
            <v>1</v>
          </cell>
          <cell r="F17">
            <v>35</v>
          </cell>
          <cell r="G17" t="str">
            <v>褐煤50</v>
          </cell>
          <cell r="H17">
            <v>5000</v>
          </cell>
          <cell r="I17">
            <v>12</v>
          </cell>
          <cell r="J17">
            <v>20</v>
          </cell>
          <cell r="K17">
            <v>1</v>
          </cell>
          <cell r="L17">
            <v>35</v>
          </cell>
        </row>
        <row r="18">
          <cell r="A18" t="str">
            <v>褐煤55</v>
          </cell>
          <cell r="B18">
            <v>5500</v>
          </cell>
          <cell r="C18">
            <v>12</v>
          </cell>
          <cell r="D18">
            <v>20</v>
          </cell>
          <cell r="E18">
            <v>1</v>
          </cell>
          <cell r="F18">
            <v>35</v>
          </cell>
          <cell r="G18" t="str">
            <v>褐煤55</v>
          </cell>
          <cell r="H18">
            <v>5500</v>
          </cell>
          <cell r="I18">
            <v>12</v>
          </cell>
          <cell r="J18">
            <v>20</v>
          </cell>
          <cell r="K18">
            <v>1</v>
          </cell>
          <cell r="L18">
            <v>35</v>
          </cell>
        </row>
        <row r="19">
          <cell r="A19" t="str">
            <v>烟煤60</v>
          </cell>
          <cell r="B19">
            <v>6000</v>
          </cell>
          <cell r="C19">
            <v>12</v>
          </cell>
          <cell r="D19">
            <v>20</v>
          </cell>
          <cell r="E19">
            <v>1</v>
          </cell>
          <cell r="F19">
            <v>30</v>
          </cell>
          <cell r="G19" t="str">
            <v>烟煤60</v>
          </cell>
          <cell r="H19">
            <v>6000</v>
          </cell>
          <cell r="I19">
            <v>12</v>
          </cell>
          <cell r="J19">
            <v>20</v>
          </cell>
          <cell r="K19">
            <v>1</v>
          </cell>
          <cell r="L19">
            <v>30</v>
          </cell>
        </row>
        <row r="20">
          <cell r="A20" t="str">
            <v>石油焦</v>
          </cell>
          <cell r="B20">
            <v>7000</v>
          </cell>
          <cell r="C20">
            <v>12</v>
          </cell>
          <cell r="D20">
            <v>5</v>
          </cell>
          <cell r="E20">
            <v>6</v>
          </cell>
          <cell r="F20">
            <v>8</v>
          </cell>
          <cell r="G20" t="str">
            <v>石油焦</v>
          </cell>
          <cell r="H20">
            <v>7000</v>
          </cell>
          <cell r="I20">
            <v>12</v>
          </cell>
          <cell r="J20">
            <v>5</v>
          </cell>
          <cell r="K20">
            <v>6</v>
          </cell>
          <cell r="L20">
            <v>8</v>
          </cell>
        </row>
      </sheetData>
      <sheetData sheetId="7"/>
      <sheetData sheetId="8"/>
      <sheetData sheetId="9">
        <row r="33">
          <cell r="A33" t="str">
            <v>银海2024年各月参数均值</v>
          </cell>
        </row>
        <row r="34">
          <cell r="A34" t="str">
            <v>日期</v>
          </cell>
          <cell r="B34" t="str">
            <v>热力试验修正后热耗率</v>
          </cell>
          <cell r="D34" t="str">
            <v>实际飞灰可燃物（%）</v>
          </cell>
          <cell r="F34" t="str">
            <v>实际炉渣可燃物（%）</v>
          </cell>
          <cell r="H34" t="str">
            <v>实际排烟温度（℃）</v>
          </cell>
          <cell r="J34" t="str">
            <v>实际送风机入口温度（℃）</v>
          </cell>
          <cell r="L34" t="str">
            <v>实际空预器后氧量</v>
          </cell>
          <cell r="N34" t="str">
            <v>实际给水温度（℃）</v>
          </cell>
          <cell r="P34" t="str">
            <v>实际给水流量（t/h）</v>
          </cell>
          <cell r="R34" t="str">
            <v>实际排渣温度（℃）</v>
          </cell>
          <cell r="T34" t="str">
            <v>实际真空（kPa）</v>
          </cell>
          <cell r="V34" t="str">
            <v>实际大气压力（kPa）</v>
          </cell>
          <cell r="X34" t="str">
            <v>实际主汽压力（MPa）</v>
          </cell>
          <cell r="Z34" t="str">
            <v>实际主蒸汽温度（℃）</v>
          </cell>
          <cell r="AB34" t="str">
            <v>实际再热汽温（℃）</v>
          </cell>
        </row>
        <row r="35">
          <cell r="B35" t="str">
            <v>#1</v>
          </cell>
          <cell r="C35" t="str">
            <v>#2</v>
          </cell>
          <cell r="D35" t="str">
            <v>#1</v>
          </cell>
          <cell r="E35" t="str">
            <v>#2</v>
          </cell>
          <cell r="F35" t="str">
            <v>#1</v>
          </cell>
          <cell r="G35" t="str">
            <v>#2</v>
          </cell>
          <cell r="H35" t="str">
            <v>#1</v>
          </cell>
          <cell r="I35" t="str">
            <v>#2</v>
          </cell>
          <cell r="J35" t="str">
            <v>#1</v>
          </cell>
          <cell r="K35" t="str">
            <v>#2</v>
          </cell>
          <cell r="L35" t="str">
            <v>#1</v>
          </cell>
          <cell r="M35" t="str">
            <v>#2</v>
          </cell>
          <cell r="N35" t="str">
            <v>#1</v>
          </cell>
          <cell r="O35" t="str">
            <v>#2</v>
          </cell>
          <cell r="P35" t="str">
            <v>#1</v>
          </cell>
          <cell r="Q35" t="str">
            <v>#2</v>
          </cell>
          <cell r="R35" t="str">
            <v>#1</v>
          </cell>
          <cell r="S35" t="str">
            <v>#2</v>
          </cell>
          <cell r="T35" t="str">
            <v>#1</v>
          </cell>
          <cell r="U35" t="str">
            <v>#2</v>
          </cell>
          <cell r="V35" t="str">
            <v>#1</v>
          </cell>
          <cell r="W35" t="str">
            <v>#2</v>
          </cell>
          <cell r="X35" t="str">
            <v>#1</v>
          </cell>
          <cell r="Y35" t="str">
            <v>#2</v>
          </cell>
          <cell r="Z35" t="str">
            <v>#1</v>
          </cell>
          <cell r="AA35" t="str">
            <v>#2</v>
          </cell>
          <cell r="AB35" t="str">
            <v>#1</v>
          </cell>
          <cell r="AC35" t="str">
            <v>#2</v>
          </cell>
        </row>
        <row r="36">
          <cell r="A36" t="str">
            <v>1月</v>
          </cell>
          <cell r="B36">
            <v>8616.4774999999991</v>
          </cell>
          <cell r="C36">
            <v>8616.4774999999991</v>
          </cell>
          <cell r="D36">
            <v>2.6</v>
          </cell>
          <cell r="E36">
            <v>2.5</v>
          </cell>
          <cell r="F36">
            <v>2.9</v>
          </cell>
          <cell r="G36">
            <v>2.5</v>
          </cell>
          <cell r="H36">
            <v>136.12</v>
          </cell>
          <cell r="I36">
            <v>137.75</v>
          </cell>
          <cell r="J36">
            <v>23</v>
          </cell>
          <cell r="K36">
            <v>23</v>
          </cell>
          <cell r="L36">
            <v>1.71</v>
          </cell>
          <cell r="M36">
            <v>1.6</v>
          </cell>
          <cell r="N36">
            <v>233.99</v>
          </cell>
          <cell r="O36">
            <v>228.64</v>
          </cell>
          <cell r="P36">
            <v>428.67</v>
          </cell>
          <cell r="Q36">
            <v>421.32</v>
          </cell>
          <cell r="R36">
            <v>850</v>
          </cell>
          <cell r="S36">
            <v>850</v>
          </cell>
          <cell r="T36">
            <v>-91.7</v>
          </cell>
          <cell r="U36">
            <v>-91.7</v>
          </cell>
          <cell r="V36">
            <v>99.18</v>
          </cell>
          <cell r="W36">
            <v>99.18</v>
          </cell>
          <cell r="X36">
            <v>12.5</v>
          </cell>
          <cell r="Y36">
            <v>12.5</v>
          </cell>
          <cell r="Z36">
            <v>525.09</v>
          </cell>
          <cell r="AA36">
            <v>527.49</v>
          </cell>
          <cell r="AB36">
            <v>519.47</v>
          </cell>
          <cell r="AC36">
            <v>524.12</v>
          </cell>
        </row>
        <row r="37">
          <cell r="A37" t="str">
            <v>2月</v>
          </cell>
          <cell r="B37">
            <v>8616.4774999999991</v>
          </cell>
          <cell r="C37">
            <v>8616.4774999999991</v>
          </cell>
          <cell r="D37">
            <v>2.6</v>
          </cell>
          <cell r="E37">
            <v>2.5</v>
          </cell>
          <cell r="F37">
            <v>2.9</v>
          </cell>
          <cell r="G37">
            <v>2.5</v>
          </cell>
          <cell r="H37">
            <v>136.12</v>
          </cell>
          <cell r="I37">
            <v>137.75</v>
          </cell>
          <cell r="J37">
            <v>22</v>
          </cell>
          <cell r="K37">
            <v>22</v>
          </cell>
          <cell r="L37">
            <v>1.71</v>
          </cell>
          <cell r="M37">
            <v>1.6</v>
          </cell>
          <cell r="N37">
            <v>233.99</v>
          </cell>
          <cell r="O37">
            <v>228.64</v>
          </cell>
          <cell r="P37">
            <v>428.67</v>
          </cell>
          <cell r="Q37">
            <v>421.32</v>
          </cell>
          <cell r="R37">
            <v>850</v>
          </cell>
          <cell r="S37">
            <v>850</v>
          </cell>
          <cell r="T37">
            <v>-91.7</v>
          </cell>
          <cell r="U37">
            <v>-91.7</v>
          </cell>
          <cell r="V37">
            <v>99.18</v>
          </cell>
          <cell r="W37">
            <v>99.18</v>
          </cell>
          <cell r="X37">
            <v>12.5</v>
          </cell>
          <cell r="Y37">
            <v>12.5</v>
          </cell>
          <cell r="Z37">
            <v>525.09</v>
          </cell>
          <cell r="AA37">
            <v>527.49</v>
          </cell>
          <cell r="AB37">
            <v>519.47</v>
          </cell>
          <cell r="AC37">
            <v>524.12</v>
          </cell>
        </row>
        <row r="38">
          <cell r="A38" t="str">
            <v>3月</v>
          </cell>
          <cell r="B38">
            <v>8616.4774999999991</v>
          </cell>
          <cell r="C38">
            <v>8616.4774999999991</v>
          </cell>
          <cell r="D38">
            <v>2.6</v>
          </cell>
          <cell r="E38">
            <v>2.5</v>
          </cell>
          <cell r="F38">
            <v>2.9</v>
          </cell>
          <cell r="G38">
            <v>2.5</v>
          </cell>
          <cell r="H38">
            <v>136.12</v>
          </cell>
          <cell r="I38">
            <v>137.75</v>
          </cell>
          <cell r="J38">
            <v>27</v>
          </cell>
          <cell r="K38">
            <v>27</v>
          </cell>
          <cell r="L38">
            <v>1.71</v>
          </cell>
          <cell r="M38">
            <v>1.6</v>
          </cell>
          <cell r="N38">
            <v>233.99</v>
          </cell>
          <cell r="O38">
            <v>228.64</v>
          </cell>
          <cell r="P38">
            <v>428.67</v>
          </cell>
          <cell r="Q38">
            <v>421.32</v>
          </cell>
          <cell r="R38">
            <v>850</v>
          </cell>
          <cell r="S38">
            <v>850</v>
          </cell>
          <cell r="T38">
            <v>-91.7</v>
          </cell>
          <cell r="U38">
            <v>-91.7</v>
          </cell>
          <cell r="V38">
            <v>99.18</v>
          </cell>
          <cell r="W38">
            <v>99.18</v>
          </cell>
          <cell r="X38">
            <v>12.5</v>
          </cell>
          <cell r="Y38">
            <v>12.5</v>
          </cell>
          <cell r="Z38">
            <v>525.09</v>
          </cell>
          <cell r="AA38">
            <v>527.49</v>
          </cell>
          <cell r="AB38">
            <v>519.47</v>
          </cell>
          <cell r="AC38">
            <v>524.12</v>
          </cell>
        </row>
        <row r="39">
          <cell r="A39" t="str">
            <v>4月</v>
          </cell>
          <cell r="B39">
            <v>8616.4774999999991</v>
          </cell>
          <cell r="C39">
            <v>8616.4774999999991</v>
          </cell>
          <cell r="D39">
            <v>2.6</v>
          </cell>
          <cell r="E39">
            <v>2.5</v>
          </cell>
          <cell r="F39">
            <v>2.9</v>
          </cell>
          <cell r="G39">
            <v>2.5</v>
          </cell>
          <cell r="H39">
            <v>136.12</v>
          </cell>
          <cell r="I39">
            <v>137.75</v>
          </cell>
          <cell r="J39">
            <v>29</v>
          </cell>
          <cell r="K39">
            <v>29</v>
          </cell>
          <cell r="L39">
            <v>1.71</v>
          </cell>
          <cell r="M39">
            <v>1.6</v>
          </cell>
          <cell r="N39">
            <v>233.99</v>
          </cell>
          <cell r="O39">
            <v>228.64</v>
          </cell>
          <cell r="P39">
            <v>428.67</v>
          </cell>
          <cell r="Q39">
            <v>421.32</v>
          </cell>
          <cell r="R39">
            <v>850</v>
          </cell>
          <cell r="S39">
            <v>850</v>
          </cell>
          <cell r="T39">
            <v>-90.7</v>
          </cell>
          <cell r="U39">
            <v>-90.7</v>
          </cell>
          <cell r="V39">
            <v>99.18</v>
          </cell>
          <cell r="W39">
            <v>99.18</v>
          </cell>
          <cell r="X39">
            <v>12.5</v>
          </cell>
          <cell r="Y39">
            <v>12.5</v>
          </cell>
          <cell r="Z39">
            <v>525.09</v>
          </cell>
          <cell r="AA39">
            <v>527.49</v>
          </cell>
          <cell r="AB39">
            <v>519.47</v>
          </cell>
          <cell r="AC39">
            <v>524.12</v>
          </cell>
        </row>
        <row r="40">
          <cell r="A40" t="str">
            <v>5月</v>
          </cell>
          <cell r="B40">
            <v>8616.4774999999991</v>
          </cell>
          <cell r="C40">
            <v>8616.4774999999991</v>
          </cell>
          <cell r="D40">
            <v>2.6</v>
          </cell>
          <cell r="E40">
            <v>2.5</v>
          </cell>
          <cell r="F40">
            <v>2.9</v>
          </cell>
          <cell r="G40">
            <v>2.5</v>
          </cell>
          <cell r="H40">
            <v>136.12</v>
          </cell>
          <cell r="I40">
            <v>137.75</v>
          </cell>
          <cell r="J40">
            <v>33</v>
          </cell>
          <cell r="K40">
            <v>33</v>
          </cell>
          <cell r="L40">
            <v>1.71</v>
          </cell>
          <cell r="M40">
            <v>1.6</v>
          </cell>
          <cell r="N40">
            <v>233.99</v>
          </cell>
          <cell r="O40">
            <v>228.64</v>
          </cell>
          <cell r="P40">
            <v>428.67</v>
          </cell>
          <cell r="Q40">
            <v>421.32</v>
          </cell>
          <cell r="R40">
            <v>850</v>
          </cell>
          <cell r="S40">
            <v>850</v>
          </cell>
          <cell r="T40">
            <v>-89</v>
          </cell>
          <cell r="U40">
            <v>-89</v>
          </cell>
          <cell r="V40">
            <v>99.18</v>
          </cell>
          <cell r="W40">
            <v>99.18</v>
          </cell>
          <cell r="X40">
            <v>12.5</v>
          </cell>
          <cell r="Y40">
            <v>12.5</v>
          </cell>
          <cell r="Z40">
            <v>525.09</v>
          </cell>
          <cell r="AA40">
            <v>527.49</v>
          </cell>
          <cell r="AB40">
            <v>519.47</v>
          </cell>
          <cell r="AC40">
            <v>524.12</v>
          </cell>
        </row>
        <row r="41">
          <cell r="A41" t="str">
            <v>6月</v>
          </cell>
          <cell r="B41">
            <v>8616.4774999999991</v>
          </cell>
          <cell r="C41">
            <v>8616.4774999999991</v>
          </cell>
          <cell r="D41">
            <v>2.6</v>
          </cell>
          <cell r="E41">
            <v>2.5</v>
          </cell>
          <cell r="F41">
            <v>2.9</v>
          </cell>
          <cell r="G41">
            <v>2.5</v>
          </cell>
          <cell r="H41">
            <v>136.12</v>
          </cell>
          <cell r="I41">
            <v>137.75</v>
          </cell>
          <cell r="J41">
            <v>37</v>
          </cell>
          <cell r="K41">
            <v>37</v>
          </cell>
          <cell r="L41">
            <v>1.71</v>
          </cell>
          <cell r="M41">
            <v>1.6</v>
          </cell>
          <cell r="N41">
            <v>233.99</v>
          </cell>
          <cell r="O41">
            <v>228.64</v>
          </cell>
          <cell r="P41">
            <v>428.67</v>
          </cell>
          <cell r="Q41">
            <v>421.32</v>
          </cell>
          <cell r="R41">
            <v>850</v>
          </cell>
          <cell r="S41">
            <v>850</v>
          </cell>
          <cell r="T41">
            <v>-87.7</v>
          </cell>
          <cell r="U41">
            <v>-87.5</v>
          </cell>
          <cell r="V41">
            <v>99.18</v>
          </cell>
          <cell r="W41">
            <v>99.18</v>
          </cell>
          <cell r="X41">
            <v>12.5</v>
          </cell>
          <cell r="Y41">
            <v>12.5</v>
          </cell>
          <cell r="Z41">
            <v>525.09</v>
          </cell>
          <cell r="AA41">
            <v>527.49</v>
          </cell>
          <cell r="AB41">
            <v>519.47</v>
          </cell>
          <cell r="AC41">
            <v>524.12</v>
          </cell>
        </row>
        <row r="42">
          <cell r="A42" t="str">
            <v>7月</v>
          </cell>
          <cell r="B42">
            <v>8616.4774999999991</v>
          </cell>
          <cell r="C42">
            <v>8616.4774999999991</v>
          </cell>
          <cell r="D42">
            <v>2.6</v>
          </cell>
          <cell r="E42">
            <v>2.5</v>
          </cell>
          <cell r="F42">
            <v>2.9</v>
          </cell>
          <cell r="G42">
            <v>2.5</v>
          </cell>
          <cell r="H42">
            <v>136.12</v>
          </cell>
          <cell r="I42">
            <v>137.75</v>
          </cell>
          <cell r="J42">
            <v>37</v>
          </cell>
          <cell r="K42">
            <v>37</v>
          </cell>
          <cell r="L42">
            <v>1.71</v>
          </cell>
          <cell r="M42">
            <v>1.6</v>
          </cell>
          <cell r="N42">
            <v>233.99</v>
          </cell>
          <cell r="O42">
            <v>228.64</v>
          </cell>
          <cell r="P42">
            <v>428.67</v>
          </cell>
          <cell r="Q42">
            <v>421.32</v>
          </cell>
          <cell r="R42">
            <v>850</v>
          </cell>
          <cell r="S42">
            <v>850</v>
          </cell>
          <cell r="T42">
            <v>-87.495999999999995</v>
          </cell>
          <cell r="U42">
            <v>-87.3</v>
          </cell>
          <cell r="V42">
            <v>99.18</v>
          </cell>
          <cell r="W42">
            <v>99.18</v>
          </cell>
          <cell r="X42">
            <v>12.5</v>
          </cell>
          <cell r="Y42">
            <v>12.5</v>
          </cell>
          <cell r="Z42">
            <v>525.09</v>
          </cell>
          <cell r="AA42">
            <v>527.49</v>
          </cell>
          <cell r="AB42">
            <v>519.47</v>
          </cell>
          <cell r="AC42">
            <v>524.12</v>
          </cell>
        </row>
        <row r="43">
          <cell r="A43" t="str">
            <v>8月</v>
          </cell>
          <cell r="B43">
            <v>8616.4774999999991</v>
          </cell>
          <cell r="C43">
            <v>8616.4774999999991</v>
          </cell>
          <cell r="D43">
            <v>2.6</v>
          </cell>
          <cell r="E43">
            <v>2.5</v>
          </cell>
          <cell r="F43">
            <v>2.9</v>
          </cell>
          <cell r="G43">
            <v>2.5</v>
          </cell>
          <cell r="H43">
            <v>136.12</v>
          </cell>
          <cell r="I43">
            <v>137.75</v>
          </cell>
          <cell r="J43">
            <v>38</v>
          </cell>
          <cell r="K43">
            <v>38</v>
          </cell>
          <cell r="L43">
            <v>1.71</v>
          </cell>
          <cell r="M43">
            <v>1.6</v>
          </cell>
          <cell r="N43">
            <v>233.99</v>
          </cell>
          <cell r="O43">
            <v>228.64</v>
          </cell>
          <cell r="P43">
            <v>428.67</v>
          </cell>
          <cell r="Q43">
            <v>421.32</v>
          </cell>
          <cell r="R43">
            <v>850</v>
          </cell>
          <cell r="S43">
            <v>850</v>
          </cell>
          <cell r="T43">
            <v>-86.497043010752705</v>
          </cell>
          <cell r="U43">
            <v>-86.3</v>
          </cell>
          <cell r="V43">
            <v>99.18</v>
          </cell>
          <cell r="W43">
            <v>99.18</v>
          </cell>
          <cell r="X43">
            <v>12.5</v>
          </cell>
          <cell r="Y43">
            <v>12.5</v>
          </cell>
          <cell r="Z43">
            <v>525.09</v>
          </cell>
          <cell r="AA43">
            <v>527.49</v>
          </cell>
          <cell r="AB43">
            <v>519.47</v>
          </cell>
          <cell r="AC43">
            <v>524.12</v>
          </cell>
        </row>
        <row r="44">
          <cell r="A44" t="str">
            <v>9月</v>
          </cell>
          <cell r="B44">
            <v>8616.4774999999991</v>
          </cell>
          <cell r="C44">
            <v>8616.4774999999991</v>
          </cell>
          <cell r="D44">
            <v>2.6</v>
          </cell>
          <cell r="E44">
            <v>2.5</v>
          </cell>
          <cell r="F44">
            <v>2.9</v>
          </cell>
          <cell r="G44">
            <v>2.5</v>
          </cell>
          <cell r="H44">
            <v>136.12</v>
          </cell>
          <cell r="I44">
            <v>137.75</v>
          </cell>
          <cell r="J44">
            <v>33</v>
          </cell>
          <cell r="K44">
            <v>33</v>
          </cell>
          <cell r="L44">
            <v>1.71</v>
          </cell>
          <cell r="M44">
            <v>1.6</v>
          </cell>
          <cell r="N44">
            <v>233.99</v>
          </cell>
          <cell r="O44">
            <v>228.64</v>
          </cell>
          <cell r="P44">
            <v>428.67</v>
          </cell>
          <cell r="Q44">
            <v>421.32</v>
          </cell>
          <cell r="R44">
            <v>850</v>
          </cell>
          <cell r="S44">
            <v>850</v>
          </cell>
          <cell r="T44">
            <v>-87.495999999999995</v>
          </cell>
          <cell r="U44">
            <v>-87.3</v>
          </cell>
          <cell r="V44">
            <v>99.18</v>
          </cell>
          <cell r="W44">
            <v>99.18</v>
          </cell>
          <cell r="X44">
            <v>12.5</v>
          </cell>
          <cell r="Y44">
            <v>12.5</v>
          </cell>
          <cell r="Z44">
            <v>526.09</v>
          </cell>
          <cell r="AA44">
            <v>528.49</v>
          </cell>
          <cell r="AB44">
            <v>520.47</v>
          </cell>
          <cell r="AC44">
            <v>525.12</v>
          </cell>
        </row>
        <row r="45">
          <cell r="A45" t="str">
            <v>10月</v>
          </cell>
          <cell r="B45">
            <v>8616.4774999999991</v>
          </cell>
          <cell r="C45">
            <v>8616.4774999999991</v>
          </cell>
          <cell r="D45">
            <v>2.6</v>
          </cell>
          <cell r="E45">
            <v>2.5</v>
          </cell>
          <cell r="F45">
            <v>2.9</v>
          </cell>
          <cell r="G45">
            <v>2.5</v>
          </cell>
          <cell r="H45">
            <v>136.12</v>
          </cell>
          <cell r="I45">
            <v>137.75</v>
          </cell>
          <cell r="J45">
            <v>29</v>
          </cell>
          <cell r="K45">
            <v>29</v>
          </cell>
          <cell r="L45">
            <v>1.71</v>
          </cell>
          <cell r="M45">
            <v>1.6</v>
          </cell>
          <cell r="N45">
            <v>233.99</v>
          </cell>
          <cell r="O45">
            <v>228.64</v>
          </cell>
          <cell r="P45">
            <v>428.67</v>
          </cell>
          <cell r="Q45">
            <v>421.32</v>
          </cell>
          <cell r="R45">
            <v>850</v>
          </cell>
          <cell r="S45">
            <v>850</v>
          </cell>
          <cell r="T45">
            <v>-89</v>
          </cell>
          <cell r="U45">
            <v>-89</v>
          </cell>
          <cell r="V45">
            <v>99.18</v>
          </cell>
          <cell r="W45">
            <v>99.18</v>
          </cell>
          <cell r="X45">
            <v>12.5</v>
          </cell>
          <cell r="Y45">
            <v>12.5</v>
          </cell>
          <cell r="Z45">
            <v>526.09</v>
          </cell>
          <cell r="AA45">
            <v>528.49</v>
          </cell>
          <cell r="AB45">
            <v>520.47</v>
          </cell>
          <cell r="AC45">
            <v>525.12</v>
          </cell>
        </row>
        <row r="46">
          <cell r="A46" t="str">
            <v>11月</v>
          </cell>
          <cell r="B46">
            <v>8616.4774999999991</v>
          </cell>
          <cell r="C46">
            <v>8616.4774999999991</v>
          </cell>
          <cell r="D46">
            <v>2.6</v>
          </cell>
          <cell r="E46">
            <v>2.5</v>
          </cell>
          <cell r="F46">
            <v>2.9</v>
          </cell>
          <cell r="G46">
            <v>2.5</v>
          </cell>
          <cell r="H46">
            <v>136.12</v>
          </cell>
          <cell r="I46">
            <v>137.75</v>
          </cell>
          <cell r="J46">
            <v>27</v>
          </cell>
          <cell r="K46">
            <v>27</v>
          </cell>
          <cell r="L46">
            <v>1.71</v>
          </cell>
          <cell r="M46">
            <v>1.6</v>
          </cell>
          <cell r="N46">
            <v>233.99</v>
          </cell>
          <cell r="O46">
            <v>228.64</v>
          </cell>
          <cell r="P46">
            <v>428.67</v>
          </cell>
          <cell r="Q46">
            <v>421.32</v>
          </cell>
          <cell r="R46">
            <v>850</v>
          </cell>
          <cell r="S46">
            <v>850</v>
          </cell>
          <cell r="T46">
            <v>-90.7</v>
          </cell>
          <cell r="U46">
            <v>-90.7</v>
          </cell>
          <cell r="V46">
            <v>99.18</v>
          </cell>
          <cell r="W46">
            <v>99.18</v>
          </cell>
          <cell r="X46">
            <v>12.5</v>
          </cell>
          <cell r="Y46">
            <v>12.5</v>
          </cell>
          <cell r="Z46">
            <v>525.09</v>
          </cell>
          <cell r="AA46">
            <v>527.49</v>
          </cell>
          <cell r="AB46">
            <v>519.47</v>
          </cell>
          <cell r="AC46">
            <v>524.12</v>
          </cell>
        </row>
        <row r="47">
          <cell r="A47" t="str">
            <v>12月</v>
          </cell>
          <cell r="B47">
            <v>8616.4774999999991</v>
          </cell>
          <cell r="C47">
            <v>8616.4774999999991</v>
          </cell>
          <cell r="D47">
            <v>2.6</v>
          </cell>
          <cell r="E47">
            <v>2.5</v>
          </cell>
          <cell r="F47">
            <v>2.9</v>
          </cell>
          <cell r="G47">
            <v>2.5</v>
          </cell>
          <cell r="H47">
            <v>136.12</v>
          </cell>
          <cell r="I47">
            <v>137.75</v>
          </cell>
          <cell r="J47">
            <v>26</v>
          </cell>
          <cell r="K47">
            <v>26</v>
          </cell>
          <cell r="L47">
            <v>1.71</v>
          </cell>
          <cell r="M47">
            <v>1.6</v>
          </cell>
          <cell r="N47">
            <v>233.99</v>
          </cell>
          <cell r="O47">
            <v>228.64</v>
          </cell>
          <cell r="P47">
            <v>428.67</v>
          </cell>
          <cell r="Q47">
            <v>421.32</v>
          </cell>
          <cell r="R47">
            <v>850</v>
          </cell>
          <cell r="S47">
            <v>850</v>
          </cell>
          <cell r="T47">
            <v>-91.7</v>
          </cell>
          <cell r="U47">
            <v>-91.7</v>
          </cell>
          <cell r="V47">
            <v>99.18</v>
          </cell>
          <cell r="W47">
            <v>99.18</v>
          </cell>
          <cell r="X47">
            <v>12.5</v>
          </cell>
          <cell r="Y47">
            <v>12.5</v>
          </cell>
          <cell r="Z47">
            <v>525.09</v>
          </cell>
          <cell r="AA47">
            <v>527.49</v>
          </cell>
          <cell r="AB47">
            <v>519.47</v>
          </cell>
          <cell r="AC47">
            <v>524.12</v>
          </cell>
        </row>
        <row r="48">
          <cell r="A48" t="str">
            <v>年度</v>
          </cell>
          <cell r="B48">
            <v>8616.4774999999972</v>
          </cell>
          <cell r="C48">
            <v>8616.4774999999972</v>
          </cell>
          <cell r="D48">
            <v>2.6</v>
          </cell>
          <cell r="E48">
            <v>2.5</v>
          </cell>
          <cell r="F48">
            <v>2.9</v>
          </cell>
          <cell r="G48">
            <v>2.5</v>
          </cell>
          <cell r="H48">
            <v>136.12</v>
          </cell>
          <cell r="I48">
            <v>137.75</v>
          </cell>
          <cell r="J48">
            <v>30.0833333333333</v>
          </cell>
          <cell r="K48">
            <v>30.0833333333333</v>
          </cell>
          <cell r="L48">
            <v>1.71</v>
          </cell>
          <cell r="M48">
            <v>1.6</v>
          </cell>
          <cell r="N48">
            <v>233.99</v>
          </cell>
          <cell r="O48">
            <v>228.64</v>
          </cell>
          <cell r="P48">
            <v>428.67</v>
          </cell>
          <cell r="Q48">
            <v>421.32</v>
          </cell>
          <cell r="R48">
            <v>850</v>
          </cell>
          <cell r="S48">
            <v>850</v>
          </cell>
          <cell r="T48">
            <v>-89.615753584229395</v>
          </cell>
          <cell r="U48">
            <v>-89.55</v>
          </cell>
          <cell r="V48">
            <v>99.18</v>
          </cell>
          <cell r="W48">
            <v>99.18</v>
          </cell>
          <cell r="X48">
            <v>12.5</v>
          </cell>
          <cell r="Y48">
            <v>12.5</v>
          </cell>
          <cell r="Z48">
            <v>525.256666666667</v>
          </cell>
          <cell r="AA48">
            <v>527.65666666666698</v>
          </cell>
          <cell r="AB48">
            <v>519.636666666667</v>
          </cell>
          <cell r="AC48">
            <v>524.28666666666697</v>
          </cell>
        </row>
      </sheetData>
      <sheetData sheetId="10"/>
      <sheetData sheetId="11">
        <row r="2">
          <cell r="A2" t="str">
            <v>煤种</v>
          </cell>
        </row>
        <row r="24">
          <cell r="A24" t="str">
            <v>煤种</v>
          </cell>
          <cell r="B24" t="str">
            <v>热值</v>
          </cell>
          <cell r="C24" t="str">
            <v>水分%</v>
          </cell>
          <cell r="D24" t="str">
            <v>灰分%</v>
          </cell>
          <cell r="E24" t="str">
            <v>硫分%</v>
          </cell>
          <cell r="F24" t="str">
            <v>挥发分%</v>
          </cell>
          <cell r="G24" t="str">
            <v>1月</v>
          </cell>
          <cell r="H24" t="str">
            <v>2月</v>
          </cell>
          <cell r="I24" t="str">
            <v>3月</v>
          </cell>
          <cell r="J24" t="str">
            <v>4月</v>
          </cell>
          <cell r="K24" t="str">
            <v>5月</v>
          </cell>
          <cell r="L24" t="str">
            <v>6月</v>
          </cell>
          <cell r="M24" t="str">
            <v>7月</v>
          </cell>
          <cell r="N24" t="str">
            <v>8月</v>
          </cell>
          <cell r="O24" t="str">
            <v>9月</v>
          </cell>
          <cell r="P24" t="str">
            <v>10月</v>
          </cell>
          <cell r="Q24" t="str">
            <v>11月</v>
          </cell>
          <cell r="R24" t="str">
            <v>12月</v>
          </cell>
          <cell r="S24" t="str">
            <v>年度</v>
          </cell>
        </row>
        <row r="25">
          <cell r="A25" t="str">
            <v>东怀</v>
          </cell>
          <cell r="B25">
            <v>2254.2272727272698</v>
          </cell>
          <cell r="C25">
            <v>9.4433497628672995</v>
          </cell>
          <cell r="D25">
            <v>59.555793249545097</v>
          </cell>
          <cell r="E25">
            <v>1.77613421849332</v>
          </cell>
          <cell r="F25">
            <v>54.483180381783299</v>
          </cell>
          <cell r="G25">
            <v>19.7</v>
          </cell>
          <cell r="H25">
            <v>16.399999999999999</v>
          </cell>
          <cell r="I25">
            <v>17.5</v>
          </cell>
          <cell r="J25">
            <v>18.5</v>
          </cell>
          <cell r="K25">
            <v>18.399999999999999</v>
          </cell>
          <cell r="L25">
            <v>19.100000000000001</v>
          </cell>
          <cell r="M25">
            <v>18.5</v>
          </cell>
          <cell r="N25">
            <v>19.2</v>
          </cell>
          <cell r="O25">
            <v>18.899999999999999</v>
          </cell>
          <cell r="P25">
            <v>18.399999999999999</v>
          </cell>
          <cell r="Q25">
            <v>18.600000000000001</v>
          </cell>
          <cell r="R25">
            <v>16.8</v>
          </cell>
          <cell r="S25">
            <v>220</v>
          </cell>
        </row>
        <row r="26">
          <cell r="A26" t="str">
            <v>跃进</v>
          </cell>
          <cell r="B26">
            <v>1505.42857142857</v>
          </cell>
          <cell r="C26">
            <v>8.57</v>
          </cell>
          <cell r="D26">
            <v>67.650000000000006</v>
          </cell>
          <cell r="E26">
            <v>0.98</v>
          </cell>
          <cell r="F26">
            <v>55.07</v>
          </cell>
          <cell r="G26">
            <v>3</v>
          </cell>
          <cell r="H26">
            <v>5.6</v>
          </cell>
          <cell r="I26">
            <v>6.6</v>
          </cell>
          <cell r="J26">
            <v>7</v>
          </cell>
          <cell r="K26">
            <v>6.8</v>
          </cell>
          <cell r="L26">
            <v>6</v>
          </cell>
          <cell r="M26">
            <v>7</v>
          </cell>
          <cell r="N26">
            <v>7</v>
          </cell>
          <cell r="O26">
            <v>7</v>
          </cell>
          <cell r="P26">
            <v>5.4</v>
          </cell>
          <cell r="Q26">
            <v>1.7</v>
          </cell>
          <cell r="R26">
            <v>6.9</v>
          </cell>
          <cell r="S26">
            <v>70</v>
          </cell>
        </row>
        <row r="27">
          <cell r="A27" t="str">
            <v>州景</v>
          </cell>
          <cell r="B27">
            <v>2000</v>
          </cell>
          <cell r="C27">
            <v>15.680999999999999</v>
          </cell>
          <cell r="D27">
            <v>65.22</v>
          </cell>
          <cell r="E27">
            <v>0.63</v>
          </cell>
          <cell r="F27">
            <v>58.6</v>
          </cell>
          <cell r="G27">
            <v>0.7</v>
          </cell>
          <cell r="H27">
            <v>0</v>
          </cell>
          <cell r="I27">
            <v>5.37</v>
          </cell>
          <cell r="J27">
            <v>5.37</v>
          </cell>
          <cell r="K27">
            <v>5.37</v>
          </cell>
          <cell r="L27">
            <v>5.37</v>
          </cell>
          <cell r="M27">
            <v>5.37</v>
          </cell>
          <cell r="N27">
            <v>5.37</v>
          </cell>
          <cell r="O27">
            <v>4.9800000000000004</v>
          </cell>
          <cell r="P27">
            <v>0</v>
          </cell>
          <cell r="Q27">
            <v>6.05</v>
          </cell>
          <cell r="R27">
            <v>6.05</v>
          </cell>
          <cell r="S27">
            <v>50</v>
          </cell>
        </row>
        <row r="28">
          <cell r="A28" t="str">
            <v>那荷</v>
          </cell>
          <cell r="B28">
            <v>1200</v>
          </cell>
          <cell r="C28">
            <v>8.93</v>
          </cell>
          <cell r="D28">
            <v>71.459999999999994</v>
          </cell>
          <cell r="E28">
            <v>0.34</v>
          </cell>
          <cell r="F28">
            <v>56.85</v>
          </cell>
          <cell r="G28">
            <v>5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</v>
          </cell>
        </row>
        <row r="29">
          <cell r="A29" t="str">
            <v>煤矸石（原）</v>
          </cell>
          <cell r="B29">
            <v>2058.1955916397201</v>
          </cell>
          <cell r="C29">
            <v>10.328979802239999</v>
          </cell>
          <cell r="D29">
            <v>61.730249241830798</v>
          </cell>
          <cell r="E29">
            <v>1.96245191567418</v>
          </cell>
          <cell r="F29">
            <v>54.973251792492597</v>
          </cell>
          <cell r="G29">
            <v>10</v>
          </cell>
          <cell r="H29">
            <v>10</v>
          </cell>
          <cell r="I29">
            <v>10</v>
          </cell>
          <cell r="J29">
            <v>10</v>
          </cell>
          <cell r="K29">
            <v>10</v>
          </cell>
          <cell r="L29">
            <v>10</v>
          </cell>
          <cell r="M29">
            <v>10</v>
          </cell>
          <cell r="N29">
            <v>10</v>
          </cell>
          <cell r="O29">
            <v>10</v>
          </cell>
          <cell r="P29">
            <v>10</v>
          </cell>
          <cell r="Q29">
            <v>10</v>
          </cell>
          <cell r="R29">
            <v>10</v>
          </cell>
          <cell r="S29">
            <v>120</v>
          </cell>
        </row>
        <row r="30">
          <cell r="A30" t="str">
            <v>煤矸石</v>
          </cell>
          <cell r="B30">
            <v>1907.7455803268799</v>
          </cell>
          <cell r="C30">
            <v>52.7602700460615</v>
          </cell>
          <cell r="D30">
            <v>23.813017758299399</v>
          </cell>
          <cell r="E30">
            <v>2.2406111283209502</v>
          </cell>
          <cell r="F30">
            <v>59.462309353991103</v>
          </cell>
          <cell r="G30">
            <v>8</v>
          </cell>
          <cell r="H30">
            <v>8</v>
          </cell>
          <cell r="I30">
            <v>8</v>
          </cell>
          <cell r="J30">
            <v>8</v>
          </cell>
          <cell r="K30">
            <v>8</v>
          </cell>
          <cell r="L30">
            <v>8</v>
          </cell>
          <cell r="M30">
            <v>8</v>
          </cell>
          <cell r="N30">
            <v>8</v>
          </cell>
          <cell r="O30">
            <v>8</v>
          </cell>
          <cell r="P30">
            <v>8</v>
          </cell>
          <cell r="Q30">
            <v>8</v>
          </cell>
          <cell r="R30">
            <v>8</v>
          </cell>
          <cell r="S30">
            <v>96</v>
          </cell>
        </row>
        <row r="31">
          <cell r="A31" t="str">
            <v>褐煤2</v>
          </cell>
          <cell r="B31">
            <v>2277.0197139260899</v>
          </cell>
          <cell r="C31">
            <v>19.375281667455901</v>
          </cell>
          <cell r="D31">
            <v>47.7422313598884</v>
          </cell>
          <cell r="E31">
            <v>1.1021947214322501</v>
          </cell>
          <cell r="F31">
            <v>60.009864634966398</v>
          </cell>
          <cell r="G31">
            <v>7</v>
          </cell>
          <cell r="H31">
            <v>7</v>
          </cell>
          <cell r="I31">
            <v>7</v>
          </cell>
          <cell r="J31">
            <v>7</v>
          </cell>
          <cell r="K31">
            <v>7</v>
          </cell>
          <cell r="L31">
            <v>7</v>
          </cell>
          <cell r="M31">
            <v>7</v>
          </cell>
          <cell r="N31">
            <v>7</v>
          </cell>
          <cell r="O31">
            <v>7</v>
          </cell>
          <cell r="P31">
            <v>7</v>
          </cell>
          <cell r="Q31">
            <v>7</v>
          </cell>
          <cell r="R31">
            <v>7</v>
          </cell>
          <cell r="S31">
            <v>84</v>
          </cell>
        </row>
        <row r="32">
          <cell r="A32" t="str">
            <v>褐煤3（云）</v>
          </cell>
          <cell r="B32">
            <v>3281.1010948828398</v>
          </cell>
          <cell r="C32">
            <v>29.8076310812231</v>
          </cell>
          <cell r="D32">
            <v>18.192109383209001</v>
          </cell>
          <cell r="E32">
            <v>0.97543238415467004</v>
          </cell>
          <cell r="F32">
            <v>53.545124514027499</v>
          </cell>
          <cell r="G32">
            <v>10</v>
          </cell>
          <cell r="H32">
            <v>10</v>
          </cell>
          <cell r="I32">
            <v>10</v>
          </cell>
          <cell r="J32">
            <v>10</v>
          </cell>
          <cell r="K32">
            <v>10</v>
          </cell>
          <cell r="L32">
            <v>10</v>
          </cell>
          <cell r="M32">
            <v>10</v>
          </cell>
          <cell r="N32">
            <v>10</v>
          </cell>
          <cell r="O32">
            <v>10</v>
          </cell>
          <cell r="P32">
            <v>10</v>
          </cell>
          <cell r="Q32">
            <v>10</v>
          </cell>
          <cell r="R32">
            <v>10</v>
          </cell>
          <cell r="S32">
            <v>120</v>
          </cell>
        </row>
        <row r="33">
          <cell r="A33" t="str">
            <v>褐煤3（港1）</v>
          </cell>
          <cell r="B33">
            <v>3000</v>
          </cell>
          <cell r="C33">
            <v>50</v>
          </cell>
          <cell r="D33">
            <v>15</v>
          </cell>
          <cell r="E33">
            <v>0.6</v>
          </cell>
          <cell r="F33">
            <v>35</v>
          </cell>
          <cell r="G33">
            <v>10</v>
          </cell>
          <cell r="H33">
            <v>10</v>
          </cell>
          <cell r="I33">
            <v>10</v>
          </cell>
          <cell r="J33">
            <v>10</v>
          </cell>
          <cell r="K33">
            <v>10</v>
          </cell>
          <cell r="L33">
            <v>10</v>
          </cell>
          <cell r="M33">
            <v>10</v>
          </cell>
          <cell r="N33">
            <v>10</v>
          </cell>
          <cell r="O33">
            <v>10</v>
          </cell>
          <cell r="P33">
            <v>10</v>
          </cell>
          <cell r="Q33">
            <v>10</v>
          </cell>
          <cell r="R33">
            <v>10</v>
          </cell>
          <cell r="S33">
            <v>120</v>
          </cell>
        </row>
        <row r="34">
          <cell r="A34" t="str">
            <v>褐煤3（港2）</v>
          </cell>
          <cell r="B34">
            <v>3519.6079910510898</v>
          </cell>
          <cell r="C34">
            <v>36.659684312891301</v>
          </cell>
          <cell r="D34">
            <v>12.167634851892201</v>
          </cell>
          <cell r="E34">
            <v>0.53138479746716505</v>
          </cell>
          <cell r="F34">
            <v>51.634630459214399</v>
          </cell>
          <cell r="G34">
            <v>15</v>
          </cell>
          <cell r="H34">
            <v>15</v>
          </cell>
          <cell r="I34">
            <v>20</v>
          </cell>
          <cell r="J34">
            <v>20</v>
          </cell>
          <cell r="K34">
            <v>20</v>
          </cell>
          <cell r="L34">
            <v>20</v>
          </cell>
          <cell r="M34">
            <v>20</v>
          </cell>
          <cell r="N34">
            <v>20</v>
          </cell>
          <cell r="O34">
            <v>20</v>
          </cell>
          <cell r="P34">
            <v>15</v>
          </cell>
          <cell r="Q34">
            <v>15</v>
          </cell>
          <cell r="R34">
            <v>15</v>
          </cell>
          <cell r="S34">
            <v>215</v>
          </cell>
        </row>
        <row r="35">
          <cell r="A35" t="str">
            <v>褐煤3（港3）</v>
          </cell>
          <cell r="B35">
            <v>3800</v>
          </cell>
          <cell r="C35">
            <v>40</v>
          </cell>
          <cell r="D35">
            <v>15</v>
          </cell>
          <cell r="E35">
            <v>0.8</v>
          </cell>
          <cell r="F35">
            <v>35</v>
          </cell>
          <cell r="G35">
            <v>7</v>
          </cell>
          <cell r="H35">
            <v>7</v>
          </cell>
          <cell r="I35">
            <v>7</v>
          </cell>
          <cell r="J35">
            <v>7</v>
          </cell>
          <cell r="K35">
            <v>7</v>
          </cell>
          <cell r="L35">
            <v>7</v>
          </cell>
          <cell r="M35">
            <v>7</v>
          </cell>
          <cell r="N35">
            <v>7</v>
          </cell>
          <cell r="O35">
            <v>7</v>
          </cell>
          <cell r="P35">
            <v>7</v>
          </cell>
          <cell r="Q35">
            <v>7</v>
          </cell>
          <cell r="R35">
            <v>7</v>
          </cell>
          <cell r="S35">
            <v>84</v>
          </cell>
        </row>
        <row r="36">
          <cell r="A36" t="str">
            <v>褐煤4</v>
          </cell>
          <cell r="B36">
            <v>4323.77884131472</v>
          </cell>
          <cell r="C36">
            <v>22.512388753557101</v>
          </cell>
          <cell r="D36">
            <v>15.690872540052601</v>
          </cell>
          <cell r="E36">
            <v>1.17402495208297</v>
          </cell>
          <cell r="F36">
            <v>47.2391963639163</v>
          </cell>
          <cell r="G36">
            <v>15</v>
          </cell>
          <cell r="H36">
            <v>15</v>
          </cell>
          <cell r="I36">
            <v>15</v>
          </cell>
          <cell r="J36">
            <v>15</v>
          </cell>
          <cell r="K36">
            <v>10</v>
          </cell>
          <cell r="L36">
            <v>10</v>
          </cell>
          <cell r="M36">
            <v>10</v>
          </cell>
          <cell r="N36">
            <v>10</v>
          </cell>
          <cell r="O36">
            <v>10</v>
          </cell>
          <cell r="P36">
            <v>10</v>
          </cell>
          <cell r="Q36">
            <v>10</v>
          </cell>
          <cell r="R36">
            <v>10</v>
          </cell>
          <cell r="S36">
            <v>140</v>
          </cell>
        </row>
        <row r="37">
          <cell r="A37" t="str">
            <v>褐煤5</v>
          </cell>
          <cell r="B37">
            <v>5019.7631098416996</v>
          </cell>
          <cell r="C37">
            <v>21.8283458750868</v>
          </cell>
          <cell r="D37">
            <v>7.2329297440911402</v>
          </cell>
          <cell r="E37">
            <v>1.0258839361904999</v>
          </cell>
          <cell r="F37">
            <v>47.608019711334101</v>
          </cell>
          <cell r="G37">
            <v>20</v>
          </cell>
          <cell r="H37">
            <v>10</v>
          </cell>
          <cell r="I37">
            <v>20</v>
          </cell>
          <cell r="J37">
            <v>20</v>
          </cell>
          <cell r="K37">
            <v>15</v>
          </cell>
          <cell r="L37">
            <v>15</v>
          </cell>
          <cell r="M37">
            <v>15</v>
          </cell>
          <cell r="N37">
            <v>15</v>
          </cell>
          <cell r="O37">
            <v>15</v>
          </cell>
          <cell r="P37">
            <v>15</v>
          </cell>
          <cell r="Q37">
            <v>15</v>
          </cell>
          <cell r="R37">
            <v>15</v>
          </cell>
          <cell r="S37">
            <v>190</v>
          </cell>
        </row>
        <row r="38">
          <cell r="A38" t="str">
            <v>烟煤5</v>
          </cell>
          <cell r="B38">
            <v>5493.4953496837097</v>
          </cell>
          <cell r="C38">
            <v>10.151347311529401</v>
          </cell>
          <cell r="D38">
            <v>16.2390796739537</v>
          </cell>
          <cell r="E38">
            <v>2.4437246215863002</v>
          </cell>
          <cell r="F38">
            <v>46.053243505457601</v>
          </cell>
          <cell r="G38">
            <v>15</v>
          </cell>
          <cell r="H38">
            <v>15</v>
          </cell>
          <cell r="I38">
            <v>15</v>
          </cell>
          <cell r="J38">
            <v>15</v>
          </cell>
          <cell r="K38">
            <v>10</v>
          </cell>
          <cell r="L38">
            <v>10</v>
          </cell>
          <cell r="M38">
            <v>10</v>
          </cell>
          <cell r="N38">
            <v>10</v>
          </cell>
          <cell r="O38">
            <v>10</v>
          </cell>
          <cell r="P38">
            <v>10</v>
          </cell>
          <cell r="Q38">
            <v>10</v>
          </cell>
          <cell r="R38">
            <v>10</v>
          </cell>
          <cell r="S38">
            <v>140</v>
          </cell>
        </row>
        <row r="39">
          <cell r="A39" t="str">
            <v>烟煤6</v>
          </cell>
          <cell r="B39">
            <v>6806.0456006210698</v>
          </cell>
          <cell r="C39">
            <v>6.2802566638095803</v>
          </cell>
          <cell r="D39">
            <v>8.8981110541254491</v>
          </cell>
          <cell r="E39">
            <v>2.44095265779564</v>
          </cell>
          <cell r="F39">
            <v>42.114157802664103</v>
          </cell>
          <cell r="G39">
            <v>5</v>
          </cell>
          <cell r="H39">
            <v>5</v>
          </cell>
          <cell r="I39">
            <v>5</v>
          </cell>
          <cell r="J39">
            <v>5</v>
          </cell>
          <cell r="K39">
            <v>3</v>
          </cell>
          <cell r="L39">
            <v>3</v>
          </cell>
          <cell r="M39">
            <v>3</v>
          </cell>
          <cell r="N39">
            <v>3</v>
          </cell>
          <cell r="O39">
            <v>3</v>
          </cell>
          <cell r="P39">
            <v>3</v>
          </cell>
          <cell r="Q39">
            <v>3</v>
          </cell>
          <cell r="R39">
            <v>3</v>
          </cell>
          <cell r="S39">
            <v>44</v>
          </cell>
        </row>
        <row r="40">
          <cell r="A40" t="str">
            <v>石油焦</v>
          </cell>
          <cell r="B40">
            <v>7256.4478151694502</v>
          </cell>
          <cell r="C40">
            <v>9.8733238738374496</v>
          </cell>
          <cell r="D40">
            <v>1.11262696634489</v>
          </cell>
          <cell r="E40">
            <v>6.35309670682605</v>
          </cell>
          <cell r="F40">
            <v>11.8104977190269</v>
          </cell>
          <cell r="G40">
            <v>10</v>
          </cell>
          <cell r="H40">
            <v>10</v>
          </cell>
          <cell r="I40">
            <v>10</v>
          </cell>
          <cell r="J40">
            <v>10</v>
          </cell>
          <cell r="K40">
            <v>10</v>
          </cell>
          <cell r="L40">
            <v>10</v>
          </cell>
          <cell r="M40">
            <v>10</v>
          </cell>
          <cell r="N40">
            <v>10</v>
          </cell>
          <cell r="O40">
            <v>10</v>
          </cell>
          <cell r="P40">
            <v>10</v>
          </cell>
          <cell r="Q40">
            <v>10</v>
          </cell>
          <cell r="R40">
            <v>10</v>
          </cell>
          <cell r="S40">
            <v>120</v>
          </cell>
        </row>
        <row r="41">
          <cell r="A41" t="str">
            <v>石油焦2</v>
          </cell>
          <cell r="B41">
            <v>7000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A42" t="str">
            <v>烟煤45</v>
          </cell>
          <cell r="B42">
            <v>4000</v>
          </cell>
          <cell r="C42">
            <v>17.955138635211501</v>
          </cell>
          <cell r="D42">
            <v>20.810143061932902</v>
          </cell>
          <cell r="E42">
            <v>0.31224312281544297</v>
          </cell>
          <cell r="F42">
            <v>32.689945351214902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A43" t="str">
            <v>褐煤4500</v>
          </cell>
          <cell r="B43">
            <v>4500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</sheetData>
      <sheetData sheetId="12"/>
      <sheetData sheetId="13"/>
      <sheetData sheetId="14">
        <row r="3">
          <cell r="A3" t="str">
            <v>指标</v>
          </cell>
          <cell r="B3" t="str">
            <v>计量单位</v>
          </cell>
          <cell r="C3" t="str">
            <v>单位/业务部</v>
          </cell>
          <cell r="D3" t="str">
            <v>2021年</v>
          </cell>
          <cell r="E3" t="str">
            <v>2022年</v>
          </cell>
          <cell r="F3" t="str">
            <v>2023年</v>
          </cell>
          <cell r="G3" t="str">
            <v>2024年1-9月</v>
          </cell>
          <cell r="H3">
            <v>45566</v>
          </cell>
          <cell r="I3">
            <v>45597</v>
          </cell>
          <cell r="J3">
            <v>45627</v>
          </cell>
          <cell r="K3" t="str">
            <v>2024年</v>
          </cell>
          <cell r="L3" t="str">
            <v>年度</v>
          </cell>
          <cell r="M3" t="str">
            <v>1月</v>
          </cell>
          <cell r="N3" t="str">
            <v>2月</v>
          </cell>
          <cell r="O3" t="str">
            <v>3月</v>
          </cell>
          <cell r="P3" t="str">
            <v>4月</v>
          </cell>
          <cell r="Q3" t="str">
            <v>5月</v>
          </cell>
          <cell r="R3" t="str">
            <v>6月</v>
          </cell>
          <cell r="S3" t="str">
            <v>7月</v>
          </cell>
          <cell r="T3" t="str">
            <v>8月</v>
          </cell>
          <cell r="U3" t="str">
            <v>9月</v>
          </cell>
          <cell r="V3" t="str">
            <v>10月</v>
          </cell>
          <cell r="W3" t="str">
            <v>11月</v>
          </cell>
          <cell r="X3" t="str">
            <v>12月</v>
          </cell>
        </row>
        <row r="4">
          <cell r="D4" t="str">
            <v>实际</v>
          </cell>
          <cell r="E4" t="str">
            <v>实际</v>
          </cell>
          <cell r="F4" t="str">
            <v>实际</v>
          </cell>
          <cell r="G4" t="str">
            <v>实际</v>
          </cell>
          <cell r="H4" t="str">
            <v>预计</v>
          </cell>
          <cell r="I4" t="str">
            <v>预计</v>
          </cell>
          <cell r="J4" t="str">
            <v>预计</v>
          </cell>
          <cell r="K4" t="str">
            <v>预计</v>
          </cell>
          <cell r="L4" t="str">
            <v>目标</v>
          </cell>
          <cell r="M4" t="str">
            <v>预算</v>
          </cell>
          <cell r="N4" t="str">
            <v>预算</v>
          </cell>
          <cell r="O4" t="str">
            <v>预算</v>
          </cell>
          <cell r="P4" t="str">
            <v>预算</v>
          </cell>
          <cell r="Q4" t="str">
            <v>预算</v>
          </cell>
          <cell r="R4" t="str">
            <v>预算</v>
          </cell>
          <cell r="S4" t="str">
            <v>预算</v>
          </cell>
          <cell r="T4" t="str">
            <v>预算</v>
          </cell>
          <cell r="U4" t="str">
            <v>预算</v>
          </cell>
          <cell r="V4" t="str">
            <v>预算</v>
          </cell>
          <cell r="W4" t="str">
            <v>预算</v>
          </cell>
          <cell r="X4" t="str">
            <v>预算</v>
          </cell>
        </row>
        <row r="5">
          <cell r="A5" t="str">
            <v>产量</v>
          </cell>
          <cell r="B5" t="str">
            <v>亿度</v>
          </cell>
          <cell r="C5" t="str">
            <v>百矿电</v>
          </cell>
          <cell r="D5">
            <v>47.158079999999998</v>
          </cell>
          <cell r="E5">
            <v>32.224739999999997</v>
          </cell>
          <cell r="F5">
            <v>51.528599999999997</v>
          </cell>
          <cell r="G5">
            <v>36.735900000000001</v>
          </cell>
          <cell r="H5">
            <v>4.8239999999999998</v>
          </cell>
          <cell r="I5">
            <v>3.6479759999999999</v>
          </cell>
          <cell r="J5">
            <v>4.8239999999999998</v>
          </cell>
          <cell r="K5">
            <v>50.031875999999997</v>
          </cell>
          <cell r="L5">
            <v>46.725287999999999</v>
          </cell>
          <cell r="M5">
            <v>4.9074239999999998</v>
          </cell>
          <cell r="N5">
            <v>2.4537119999999999</v>
          </cell>
          <cell r="O5">
            <v>2.216256</v>
          </cell>
          <cell r="P5">
            <v>4.4907120000000003</v>
          </cell>
          <cell r="Q5">
            <v>4.8189599999999997</v>
          </cell>
          <cell r="R5">
            <v>3.4757039999999999</v>
          </cell>
          <cell r="S5">
            <v>2.4443999999999999</v>
          </cell>
          <cell r="T5">
            <v>3.7480799999999999</v>
          </cell>
          <cell r="U5">
            <v>4.9702799999999998</v>
          </cell>
          <cell r="V5">
            <v>3.2591999999999999</v>
          </cell>
          <cell r="W5">
            <v>5.0517599999999998</v>
          </cell>
          <cell r="X5">
            <v>4.8887999999999998</v>
          </cell>
        </row>
        <row r="6">
          <cell r="C6" t="str">
            <v>银海电</v>
          </cell>
          <cell r="D6">
            <v>20.4301691899201</v>
          </cell>
          <cell r="E6">
            <v>6.5152836000000001</v>
          </cell>
          <cell r="F6">
            <v>19.062955800000001</v>
          </cell>
          <cell r="G6">
            <v>15.138370800000001</v>
          </cell>
          <cell r="H6">
            <v>2.16</v>
          </cell>
          <cell r="I6">
            <v>1.7442</v>
          </cell>
          <cell r="J6">
            <v>1.8</v>
          </cell>
          <cell r="K6">
            <v>20.842570800000001</v>
          </cell>
          <cell r="L6">
            <v>21.990600000000001</v>
          </cell>
          <cell r="M6">
            <v>2.1204000000000001</v>
          </cell>
          <cell r="N6">
            <v>1.4021999999999999</v>
          </cell>
          <cell r="O6">
            <v>1.9152</v>
          </cell>
          <cell r="P6">
            <v>2.1204000000000001</v>
          </cell>
          <cell r="Q6">
            <v>2.052</v>
          </cell>
          <cell r="R6">
            <v>1.4021999999999999</v>
          </cell>
          <cell r="S6">
            <v>2.052</v>
          </cell>
          <cell r="T6">
            <v>1.6073999999999999</v>
          </cell>
          <cell r="U6">
            <v>1.0944</v>
          </cell>
          <cell r="V6">
            <v>2.052</v>
          </cell>
          <cell r="W6">
            <v>2.1204000000000001</v>
          </cell>
          <cell r="X6">
            <v>2.052</v>
          </cell>
        </row>
        <row r="7">
          <cell r="C7" t="str">
            <v>田东电</v>
          </cell>
          <cell r="D7">
            <v>10.626552</v>
          </cell>
          <cell r="E7">
            <v>3.5811331200000001</v>
          </cell>
          <cell r="F7">
            <v>14.01205626</v>
          </cell>
          <cell r="G7">
            <v>12.9891562</v>
          </cell>
          <cell r="H7">
            <v>1.62</v>
          </cell>
          <cell r="I7">
            <v>0.30780000000000002</v>
          </cell>
          <cell r="J7">
            <v>1.6284000000000001</v>
          </cell>
          <cell r="K7">
            <v>16.545356200000001</v>
          </cell>
          <cell r="L7">
            <v>19.791540000000001</v>
          </cell>
          <cell r="M7">
            <v>1.9083600000000001</v>
          </cell>
          <cell r="N7">
            <v>1.9083600000000001</v>
          </cell>
          <cell r="O7">
            <v>1.7236800000000001</v>
          </cell>
          <cell r="P7">
            <v>1.9083600000000001</v>
          </cell>
          <cell r="Q7">
            <v>1.8468</v>
          </cell>
          <cell r="R7">
            <v>1.5082199999999999</v>
          </cell>
          <cell r="S7">
            <v>0.95418000000000003</v>
          </cell>
          <cell r="T7">
            <v>1.4466600000000001</v>
          </cell>
          <cell r="U7">
            <v>0.98495999999999995</v>
          </cell>
          <cell r="V7">
            <v>1.8468</v>
          </cell>
          <cell r="W7">
            <v>1.9083600000000001</v>
          </cell>
          <cell r="X7">
            <v>1.8468</v>
          </cell>
        </row>
        <row r="8">
          <cell r="C8" t="str">
            <v>德保电</v>
          </cell>
          <cell r="D8">
            <v>6.0099419999999997</v>
          </cell>
          <cell r="E8">
            <v>41.236865999999999</v>
          </cell>
          <cell r="F8">
            <v>55.436832000000003</v>
          </cell>
          <cell r="G8">
            <v>40.450248000000002</v>
          </cell>
          <cell r="H8">
            <v>0.9</v>
          </cell>
          <cell r="I8">
            <v>2.7784680000000002</v>
          </cell>
          <cell r="J8">
            <v>2.6640000000000001</v>
          </cell>
          <cell r="K8">
            <v>46.792715999999999</v>
          </cell>
          <cell r="L8">
            <v>46.248047999999997</v>
          </cell>
          <cell r="M8">
            <v>2.7784680000000002</v>
          </cell>
          <cell r="N8">
            <v>2.7784680000000002</v>
          </cell>
          <cell r="O8">
            <v>2.5095839999999998</v>
          </cell>
          <cell r="P8">
            <v>2.5992120000000001</v>
          </cell>
          <cell r="Q8">
            <v>0.98590800000000001</v>
          </cell>
          <cell r="R8">
            <v>5.5569360000000003</v>
          </cell>
          <cell r="S8">
            <v>5.3776799999999998</v>
          </cell>
          <cell r="T8">
            <v>5.5569360000000003</v>
          </cell>
          <cell r="U8">
            <v>5.5569360000000003</v>
          </cell>
          <cell r="V8">
            <v>5.3776799999999998</v>
          </cell>
          <cell r="W8">
            <v>3.943632</v>
          </cell>
          <cell r="X8">
            <v>3.2266080000000001</v>
          </cell>
        </row>
        <row r="9">
          <cell r="C9" t="str">
            <v>火电小计</v>
          </cell>
          <cell r="D9">
            <v>84.224743189920105</v>
          </cell>
          <cell r="E9">
            <v>83.558022719999997</v>
          </cell>
          <cell r="F9">
            <v>140.04044406</v>
          </cell>
          <cell r="G9">
            <v>102.78700852</v>
          </cell>
          <cell r="H9">
            <v>9.5039999999999996</v>
          </cell>
          <cell r="I9">
            <v>8.4784439999999996</v>
          </cell>
          <cell r="J9">
            <v>10.916399999999999</v>
          </cell>
          <cell r="K9">
            <v>134.21251899999999</v>
          </cell>
          <cell r="L9">
            <v>134.75547599999999</v>
          </cell>
          <cell r="M9">
            <v>11.714651999999999</v>
          </cell>
          <cell r="N9">
            <v>8.5427400000000002</v>
          </cell>
          <cell r="O9">
            <v>8.3647200000000002</v>
          </cell>
          <cell r="P9">
            <v>11.118684</v>
          </cell>
          <cell r="Q9">
            <v>9.7036680000000004</v>
          </cell>
          <cell r="R9">
            <v>11.943059999999999</v>
          </cell>
          <cell r="S9">
            <v>10.82826</v>
          </cell>
          <cell r="T9">
            <v>12.359076</v>
          </cell>
          <cell r="U9">
            <v>12.606576</v>
          </cell>
          <cell r="V9">
            <v>12.535679999999999</v>
          </cell>
          <cell r="W9">
            <v>13.024152000000001</v>
          </cell>
          <cell r="X9">
            <v>12.014208</v>
          </cell>
        </row>
        <row r="10">
          <cell r="C10" t="str">
            <v>水电</v>
          </cell>
          <cell r="D10">
            <v>0.98225105000000001</v>
          </cell>
          <cell r="E10">
            <v>1.0791951900000001</v>
          </cell>
          <cell r="F10">
            <v>0.66213133000000002</v>
          </cell>
          <cell r="G10">
            <v>1.3211782000000001</v>
          </cell>
          <cell r="H10">
            <v>4.4999999999999998E-2</v>
          </cell>
          <cell r="I10">
            <v>4.4999999999999998E-2</v>
          </cell>
          <cell r="J10">
            <v>3.7999999999999999E-2</v>
          </cell>
          <cell r="K10">
            <v>1.4491782</v>
          </cell>
          <cell r="L10">
            <v>1.2</v>
          </cell>
          <cell r="M10">
            <v>3.9E-2</v>
          </cell>
          <cell r="N10">
            <v>3.5000000000000003E-2</v>
          </cell>
          <cell r="O10">
            <v>4.4999999999999998E-2</v>
          </cell>
          <cell r="P10">
            <v>0.185</v>
          </cell>
          <cell r="Q10">
            <v>0.18</v>
          </cell>
          <cell r="R10">
            <v>0.18</v>
          </cell>
          <cell r="S10">
            <v>0.185</v>
          </cell>
          <cell r="T10">
            <v>0.185</v>
          </cell>
          <cell r="U10">
            <v>0.05</v>
          </cell>
          <cell r="V10">
            <v>0.04</v>
          </cell>
          <cell r="W10">
            <v>3.7999999999999999E-2</v>
          </cell>
          <cell r="X10">
            <v>3.7999999999999999E-2</v>
          </cell>
        </row>
        <row r="11">
          <cell r="C11" t="str">
            <v>电力合计</v>
          </cell>
          <cell r="D11">
            <v>85.206994239920107</v>
          </cell>
          <cell r="E11">
            <v>84.637217910000004</v>
          </cell>
          <cell r="F11">
            <v>140.70257538999999</v>
          </cell>
          <cell r="G11">
            <v>103.36666855</v>
          </cell>
          <cell r="H11">
            <v>9.5489999999999995</v>
          </cell>
          <cell r="I11">
            <v>8.5234439999999996</v>
          </cell>
          <cell r="J11">
            <v>10.9544</v>
          </cell>
          <cell r="K11">
            <v>135.66169719999999</v>
          </cell>
          <cell r="L11">
            <v>135.955476</v>
          </cell>
          <cell r="M11">
            <v>11.753652000000001</v>
          </cell>
          <cell r="N11">
            <v>8.5777400000000004</v>
          </cell>
          <cell r="O11">
            <v>8.4097200000000001</v>
          </cell>
          <cell r="P11">
            <v>11.303684000000001</v>
          </cell>
          <cell r="Q11">
            <v>9.8836680000000001</v>
          </cell>
          <cell r="R11">
            <v>12.123060000000001</v>
          </cell>
          <cell r="S11">
            <v>11.013260000000001</v>
          </cell>
          <cell r="T11">
            <v>12.544076</v>
          </cell>
          <cell r="U11">
            <v>12.656575999999999</v>
          </cell>
          <cell r="V11">
            <v>12.57568</v>
          </cell>
          <cell r="W11">
            <v>13.062151999999999</v>
          </cell>
          <cell r="X11">
            <v>12.052208</v>
          </cell>
        </row>
        <row r="12">
          <cell r="A12" t="str">
            <v>销量</v>
          </cell>
          <cell r="B12" t="str">
            <v>亿度</v>
          </cell>
          <cell r="C12" t="str">
            <v>百矿电</v>
          </cell>
          <cell r="D12">
            <v>43.958639999999697</v>
          </cell>
          <cell r="E12">
            <v>29.9171399999999</v>
          </cell>
          <cell r="F12">
            <v>48.304553540000001</v>
          </cell>
          <cell r="G12">
            <v>34.469869000000003</v>
          </cell>
          <cell r="H12">
            <v>4.5051335999999997</v>
          </cell>
          <cell r="I12">
            <v>3.4166862991818401</v>
          </cell>
          <cell r="J12">
            <v>4.5562680000000002</v>
          </cell>
          <cell r="K12">
            <v>46.947956899181797</v>
          </cell>
          <cell r="L12">
            <v>43.804239544058099</v>
          </cell>
          <cell r="M12">
            <v>4.62117903917588</v>
          </cell>
          <cell r="N12">
            <v>2.30345083680047</v>
          </cell>
          <cell r="O12">
            <v>2.08158751683079</v>
          </cell>
          <cell r="P12">
            <v>4.2148206558699304</v>
          </cell>
          <cell r="Q12">
            <v>4.5290497792009399</v>
          </cell>
          <cell r="R12">
            <v>3.2374231575761598</v>
          </cell>
          <cell r="S12">
            <v>2.28325820252318</v>
          </cell>
          <cell r="T12">
            <v>3.49916745139102</v>
          </cell>
          <cell r="U12">
            <v>4.6619537526897696</v>
          </cell>
          <cell r="V12">
            <v>3.0393479999999999</v>
          </cell>
          <cell r="W12">
            <v>4.742184752</v>
          </cell>
          <cell r="X12">
            <v>4.5908163999999996</v>
          </cell>
        </row>
        <row r="13">
          <cell r="C13" t="str">
            <v>银海电</v>
          </cell>
          <cell r="D13">
            <v>18.099417599999999</v>
          </cell>
          <cell r="E13">
            <v>5.8437456000000099</v>
          </cell>
          <cell r="F13">
            <v>17.189291568000002</v>
          </cell>
          <cell r="G13">
            <v>13.747247740000001</v>
          </cell>
          <cell r="H13">
            <v>1.94897036620973</v>
          </cell>
          <cell r="I13">
            <v>1.5821717657818199</v>
          </cell>
          <cell r="J13">
            <v>1.64106</v>
          </cell>
          <cell r="K13">
            <v>18.9194498719915</v>
          </cell>
          <cell r="L13">
            <v>19.953729153532802</v>
          </cell>
          <cell r="M13">
            <v>1.93324635050189</v>
          </cell>
          <cell r="N13">
            <v>1.2702665600457099</v>
          </cell>
          <cell r="O13">
            <v>1.74681960693463</v>
          </cell>
          <cell r="P13">
            <v>1.9279978386776799</v>
          </cell>
          <cell r="Q13">
            <v>1.8593893216300601</v>
          </cell>
          <cell r="R13">
            <v>1.2614463833859</v>
          </cell>
          <cell r="S13">
            <v>1.8593468606651999</v>
          </cell>
          <cell r="T13">
            <v>1.46013875365874</v>
          </cell>
          <cell r="U13">
            <v>0.97950953791579998</v>
          </cell>
          <cell r="V13">
            <v>1.86367710580621</v>
          </cell>
          <cell r="W13">
            <v>1.92608002268737</v>
          </cell>
          <cell r="X13">
            <v>1.8658108116235601</v>
          </cell>
        </row>
        <row r="14">
          <cell r="C14" t="str">
            <v>田东电</v>
          </cell>
          <cell r="D14">
            <v>9.5240904000000004</v>
          </cell>
          <cell r="E14">
            <v>3.2466719999999998</v>
          </cell>
          <cell r="F14">
            <v>12.733097900000001</v>
          </cell>
          <cell r="G14">
            <v>11.808067737</v>
          </cell>
          <cell r="H14">
            <v>1.47096</v>
          </cell>
          <cell r="I14">
            <v>0.27993704385887302</v>
          </cell>
          <cell r="J14">
            <v>1.4824953599999999</v>
          </cell>
          <cell r="K14">
            <v>15.0414601408589</v>
          </cell>
          <cell r="L14">
            <v>18.015073755751398</v>
          </cell>
          <cell r="M14">
            <v>1.74339734863621</v>
          </cell>
          <cell r="N14">
            <v>1.74717196106818</v>
          </cell>
          <cell r="O14">
            <v>1.5732015662762699</v>
          </cell>
          <cell r="P14">
            <v>1.7394851054888301</v>
          </cell>
          <cell r="Q14">
            <v>1.6859492330161501</v>
          </cell>
          <cell r="R14">
            <v>1.36509637385552</v>
          </cell>
          <cell r="S14">
            <v>0.86134103226509096</v>
          </cell>
          <cell r="T14">
            <v>1.3073208954550299</v>
          </cell>
          <cell r="U14">
            <v>0.89150066334526501</v>
          </cell>
          <cell r="V14">
            <v>1.67909635634485</v>
          </cell>
          <cell r="W14">
            <v>1.7383522199999999</v>
          </cell>
          <cell r="X14">
            <v>1.6831609999999999</v>
          </cell>
        </row>
        <row r="15">
          <cell r="C15" t="str">
            <v>德保电</v>
          </cell>
          <cell r="D15">
            <v>5.7124980000000001</v>
          </cell>
          <cell r="E15">
            <v>38.2840846</v>
          </cell>
          <cell r="F15">
            <v>51.955476560000001</v>
          </cell>
          <cell r="G15">
            <v>38.008684850000002</v>
          </cell>
          <cell r="H15">
            <v>0.83987868755709105</v>
          </cell>
          <cell r="I15">
            <v>2.5941976114577701</v>
          </cell>
          <cell r="J15">
            <v>2.4994516903225801</v>
          </cell>
          <cell r="K15">
            <v>43.942212839337401</v>
          </cell>
          <cell r="L15">
            <v>43.466864276660502</v>
          </cell>
          <cell r="M15">
            <v>2.6242714375468901</v>
          </cell>
          <cell r="N15">
            <v>2.62805711944078</v>
          </cell>
          <cell r="O15">
            <v>2.3665432502171102</v>
          </cell>
          <cell r="P15">
            <v>2.4426301113982598</v>
          </cell>
          <cell r="Q15">
            <v>0.91717576041280802</v>
          </cell>
          <cell r="R15">
            <v>5.2221341519667899</v>
          </cell>
          <cell r="S15">
            <v>5.0510850925206796</v>
          </cell>
          <cell r="T15">
            <v>5.1957566073525197</v>
          </cell>
          <cell r="U15">
            <v>5.2261031378118403</v>
          </cell>
          <cell r="V15">
            <v>5.06001200499548</v>
          </cell>
          <cell r="W15">
            <v>3.7084242920000001</v>
          </cell>
          <cell r="X15">
            <v>3.0246713109972898</v>
          </cell>
        </row>
        <row r="16">
          <cell r="C16" t="str">
            <v>火电小计</v>
          </cell>
          <cell r="D16">
            <v>77.294645999999702</v>
          </cell>
          <cell r="E16">
            <v>77.291642199999899</v>
          </cell>
          <cell r="F16">
            <v>130.182419568</v>
          </cell>
          <cell r="G16">
            <v>102.78700852</v>
          </cell>
          <cell r="H16">
            <v>8.7649426537668198</v>
          </cell>
          <cell r="I16">
            <v>7.8729927202803003</v>
          </cell>
          <cell r="J16">
            <v>10.1792750503226</v>
          </cell>
          <cell r="K16">
            <v>124.85107975136999</v>
          </cell>
          <cell r="L16">
            <v>125.239906730003</v>
          </cell>
          <cell r="M16">
            <v>10.9220941758609</v>
          </cell>
          <cell r="N16">
            <v>7.9489464773551397</v>
          </cell>
          <cell r="O16">
            <v>7.7681519402588002</v>
          </cell>
          <cell r="P16">
            <v>10.324933711434699</v>
          </cell>
          <cell r="Q16">
            <v>8.9915640942599602</v>
          </cell>
          <cell r="R16">
            <v>11.0861000667844</v>
          </cell>
          <cell r="S16">
            <v>10.0550311879741</v>
          </cell>
          <cell r="T16">
            <v>11.462383707857301</v>
          </cell>
          <cell r="U16">
            <v>11.7590670917627</v>
          </cell>
          <cell r="V16">
            <v>11.6421334671465</v>
          </cell>
          <cell r="W16">
            <v>12.115041286687401</v>
          </cell>
          <cell r="X16">
            <v>11.164459522620801</v>
          </cell>
        </row>
        <row r="17">
          <cell r="C17" t="str">
            <v>水电</v>
          </cell>
          <cell r="D17">
            <v>0.97280719999999998</v>
          </cell>
          <cell r="E17">
            <v>1.06904416</v>
          </cell>
          <cell r="F17">
            <v>0.65487161000000005</v>
          </cell>
          <cell r="G17">
            <v>1.3098816499999999</v>
          </cell>
          <cell r="H17">
            <v>4.4549999999999999E-2</v>
          </cell>
          <cell r="I17">
            <v>4.4549999999999999E-2</v>
          </cell>
          <cell r="J17">
            <v>3.7600000000000001E-2</v>
          </cell>
          <cell r="K17">
            <v>1.4365816499999999</v>
          </cell>
          <cell r="L17">
            <v>1.18754</v>
          </cell>
          <cell r="M17">
            <v>3.857E-2</v>
          </cell>
          <cell r="N17">
            <v>3.4619999999999998E-2</v>
          </cell>
          <cell r="O17">
            <v>4.4499999999999998E-2</v>
          </cell>
          <cell r="P17">
            <v>0.18315000000000001</v>
          </cell>
          <cell r="Q17">
            <v>0.1782</v>
          </cell>
          <cell r="R17">
            <v>0.1782</v>
          </cell>
          <cell r="S17">
            <v>0.183</v>
          </cell>
          <cell r="T17">
            <v>0.18315000000000001</v>
          </cell>
          <cell r="U17">
            <v>4.9399999999999999E-2</v>
          </cell>
          <cell r="V17">
            <v>3.9550000000000002E-2</v>
          </cell>
          <cell r="W17">
            <v>3.7600000000000001E-2</v>
          </cell>
          <cell r="X17">
            <v>3.7600000000000001E-2</v>
          </cell>
        </row>
        <row r="18">
          <cell r="C18" t="str">
            <v>电力合计</v>
          </cell>
          <cell r="D18">
            <v>78.267453199999693</v>
          </cell>
          <cell r="E18">
            <v>78.360686359999903</v>
          </cell>
          <cell r="F18">
            <v>130.83729117799999</v>
          </cell>
          <cell r="G18">
            <v>95.970254585999996</v>
          </cell>
          <cell r="H18">
            <v>8.8094926537668208</v>
          </cell>
          <cell r="I18">
            <v>7.9175427202803004</v>
          </cell>
          <cell r="J18">
            <v>10.216875050322599</v>
          </cell>
          <cell r="K18">
            <v>126.28766140137</v>
          </cell>
          <cell r="L18">
            <v>126.427446730003</v>
          </cell>
          <cell r="M18">
            <v>10.9606641758609</v>
          </cell>
          <cell r="N18">
            <v>7.98356647735514</v>
          </cell>
          <cell r="O18">
            <v>7.8126519402588004</v>
          </cell>
          <cell r="P18">
            <v>10.508083711434701</v>
          </cell>
          <cell r="Q18">
            <v>9.1697640942599605</v>
          </cell>
          <cell r="R18">
            <v>11.264300066784401</v>
          </cell>
          <cell r="S18">
            <v>10.2380311879741</v>
          </cell>
          <cell r="T18">
            <v>11.6455337078573</v>
          </cell>
          <cell r="U18">
            <v>11.808467091762701</v>
          </cell>
          <cell r="V18">
            <v>11.681683467146501</v>
          </cell>
          <cell r="W18">
            <v>12.1526412866874</v>
          </cell>
          <cell r="X18">
            <v>11.2020595226208</v>
          </cell>
        </row>
        <row r="19">
          <cell r="A19" t="str">
            <v>售价</v>
          </cell>
          <cell r="B19" t="str">
            <v>元/度</v>
          </cell>
          <cell r="C19" t="str">
            <v>百矿电</v>
          </cell>
          <cell r="D19">
            <v>0.49168540413615103</v>
          </cell>
          <cell r="E19">
            <v>0.58779611101536</v>
          </cell>
          <cell r="F19">
            <v>0.56054189488772199</v>
          </cell>
          <cell r="G19">
            <v>0.57705301959514199</v>
          </cell>
          <cell r="H19">
            <v>0.58042866390659897</v>
          </cell>
          <cell r="I19">
            <v>0.58042866390660097</v>
          </cell>
          <cell r="J19">
            <v>0.58042866390660097</v>
          </cell>
          <cell r="K19">
            <v>0.57795021702857297</v>
          </cell>
          <cell r="L19">
            <v>0.58473774427112901</v>
          </cell>
          <cell r="M19">
            <v>0.58379299250649297</v>
          </cell>
          <cell r="N19">
            <v>0.58762473421935102</v>
          </cell>
          <cell r="O19">
            <v>0.58644842583169199</v>
          </cell>
          <cell r="P19">
            <v>0.58772585604596905</v>
          </cell>
          <cell r="Q19">
            <v>0.58767932240480403</v>
          </cell>
          <cell r="R19">
            <v>0.58781281018811204</v>
          </cell>
          <cell r="S19">
            <v>0.58590831851383496</v>
          </cell>
          <cell r="T19">
            <v>0.58743307386723997</v>
          </cell>
          <cell r="U19">
            <v>0.58752123257774602</v>
          </cell>
          <cell r="V19">
            <v>0.58025886450144504</v>
          </cell>
          <cell r="W19">
            <v>0.57445872424628397</v>
          </cell>
          <cell r="X19">
            <v>0.58377058630030099</v>
          </cell>
        </row>
        <row r="20">
          <cell r="C20" t="str">
            <v>银海电</v>
          </cell>
          <cell r="D20">
            <v>0.47563683706448501</v>
          </cell>
          <cell r="E20">
            <v>0.59230127492002904</v>
          </cell>
          <cell r="F20">
            <v>0.56831884852708003</v>
          </cell>
          <cell r="G20">
            <v>0.59041748037472996</v>
          </cell>
          <cell r="H20">
            <v>0.58999000000000001</v>
          </cell>
          <cell r="I20">
            <v>0.58999000000000001</v>
          </cell>
          <cell r="J20">
            <v>0.58999000000000001</v>
          </cell>
          <cell r="K20">
            <v>0.59030061572377401</v>
          </cell>
          <cell r="L20">
            <v>0.59</v>
          </cell>
          <cell r="M20">
            <v>0.59</v>
          </cell>
          <cell r="N20">
            <v>0.59</v>
          </cell>
          <cell r="O20">
            <v>0.59</v>
          </cell>
          <cell r="P20">
            <v>0.59</v>
          </cell>
          <cell r="Q20">
            <v>0.59</v>
          </cell>
          <cell r="R20">
            <v>0.59</v>
          </cell>
          <cell r="S20">
            <v>0.59</v>
          </cell>
          <cell r="T20">
            <v>0.59</v>
          </cell>
          <cell r="U20">
            <v>0.59</v>
          </cell>
          <cell r="V20">
            <v>0.59</v>
          </cell>
          <cell r="W20">
            <v>0.59</v>
          </cell>
          <cell r="X20">
            <v>0.59</v>
          </cell>
        </row>
        <row r="21">
          <cell r="C21" t="str">
            <v>田东电</v>
          </cell>
          <cell r="D21">
            <v>0.49257701971361001</v>
          </cell>
          <cell r="E21">
            <v>0.58617757427638195</v>
          </cell>
          <cell r="F21">
            <v>0.56907375333217203</v>
          </cell>
          <cell r="G21">
            <v>0.57962781236652094</v>
          </cell>
          <cell r="H21">
            <v>0.58899999999999997</v>
          </cell>
          <cell r="I21">
            <v>0.58899999999999897</v>
          </cell>
          <cell r="J21">
            <v>0.58899999999999997</v>
          </cell>
          <cell r="K21">
            <v>0.58164250774967097</v>
          </cell>
          <cell r="L21">
            <v>0.58777467669091399</v>
          </cell>
          <cell r="M21">
            <v>0.58952686398188403</v>
          </cell>
          <cell r="N21">
            <v>0.58925783456785197</v>
          </cell>
          <cell r="O21">
            <v>0.589644006339341</v>
          </cell>
          <cell r="P21">
            <v>0.58980693500332704</v>
          </cell>
          <cell r="Q21">
            <v>0.58961619892559802</v>
          </cell>
          <cell r="R21">
            <v>0.59068993738178299</v>
          </cell>
          <cell r="S21">
            <v>0.59102430185468302</v>
          </cell>
          <cell r="T21">
            <v>0.59088772872992101</v>
          </cell>
          <cell r="U21">
            <v>0.59068864680317601</v>
          </cell>
          <cell r="V21">
            <v>0.58340221987136898</v>
          </cell>
          <cell r="W21">
            <v>0.57690442419687804</v>
          </cell>
          <cell r="X21">
            <v>0.58632809694124299</v>
          </cell>
        </row>
        <row r="22">
          <cell r="C22" t="str">
            <v>德保电</v>
          </cell>
          <cell r="D22">
            <v>0</v>
          </cell>
          <cell r="E22">
            <v>0.59258900949668503</v>
          </cell>
          <cell r="F22">
            <v>0.56177309198322201</v>
          </cell>
          <cell r="G22">
            <v>0.57573721669685696</v>
          </cell>
          <cell r="H22">
            <v>0.58976132666583003</v>
          </cell>
          <cell r="I22">
            <v>0.58976132666582903</v>
          </cell>
          <cell r="J22">
            <v>0.58976132666583003</v>
          </cell>
          <cell r="K22">
            <v>0.57763089577329996</v>
          </cell>
          <cell r="L22">
            <v>0.58307658274450103</v>
          </cell>
          <cell r="M22">
            <v>0.58443546733961205</v>
          </cell>
          <cell r="N22">
            <v>0.58643869909735202</v>
          </cell>
          <cell r="O22">
            <v>0.582853550197588</v>
          </cell>
          <cell r="P22">
            <v>0.582624116018438</v>
          </cell>
          <cell r="Q22">
            <v>0.57118176227577899</v>
          </cell>
          <cell r="R22">
            <v>0.58647004744209996</v>
          </cell>
          <cell r="S22">
            <v>0.58647004744209996</v>
          </cell>
          <cell r="T22">
            <v>0.58647004744209996</v>
          </cell>
          <cell r="U22">
            <v>0.58658391687945199</v>
          </cell>
          <cell r="V22">
            <v>0.57964985312513895</v>
          </cell>
          <cell r="W22">
            <v>0.57220892028331705</v>
          </cell>
          <cell r="X22">
            <v>0.57876498475938398</v>
          </cell>
        </row>
        <row r="23">
          <cell r="C23" t="str">
            <v>火电小计</v>
          </cell>
          <cell r="F23">
            <v>0.56289462995987805</v>
          </cell>
          <cell r="G23">
            <v>0.56429892029478501</v>
          </cell>
          <cell r="H23">
            <v>0.58719408874267398</v>
          </cell>
          <cell r="I23">
            <v>0.58598966507474604</v>
          </cell>
          <cell r="J23">
            <v>0.58605662692545202</v>
          </cell>
          <cell r="K23">
            <v>0.57015830501160003</v>
          </cell>
          <cell r="L23">
            <v>0.58307658274450103</v>
          </cell>
          <cell r="M23">
            <v>0.58443546733961205</v>
          </cell>
          <cell r="N23">
            <v>0.58643869909735202</v>
          </cell>
          <cell r="O23">
            <v>0.582853550197588</v>
          </cell>
          <cell r="P23">
            <v>0.582624116018438</v>
          </cell>
          <cell r="Q23">
            <v>0.57118176227577899</v>
          </cell>
          <cell r="R23">
            <v>0.58647004744209996</v>
          </cell>
          <cell r="S23">
            <v>0.58647004744209996</v>
          </cell>
          <cell r="T23">
            <v>0.58647004744209996</v>
          </cell>
          <cell r="U23">
            <v>0.58658391687945199</v>
          </cell>
          <cell r="V23">
            <v>0.57964985312513995</v>
          </cell>
          <cell r="W23">
            <v>0.57220892028331705</v>
          </cell>
          <cell r="X23">
            <v>0.57876498475938398</v>
          </cell>
        </row>
        <row r="24">
          <cell r="C24" t="str">
            <v>水电</v>
          </cell>
          <cell r="D24">
            <v>2.6637567791997399E-2</v>
          </cell>
          <cell r="E24">
            <v>2.62611747346406E-2</v>
          </cell>
          <cell r="F24">
            <v>0.271150809020412</v>
          </cell>
          <cell r="G24">
            <v>0.32850032683181701</v>
          </cell>
          <cell r="H24">
            <v>0.33461165048543601</v>
          </cell>
          <cell r="I24">
            <v>0.33461165048543601</v>
          </cell>
          <cell r="J24">
            <v>0.33461165048543801</v>
          </cell>
          <cell r="K24">
            <v>0.32903931792008101</v>
          </cell>
          <cell r="L24">
            <v>0.30499999999999999</v>
          </cell>
          <cell r="M24">
            <v>0.30499999999999999</v>
          </cell>
          <cell r="N24">
            <v>0.30499999999999999</v>
          </cell>
          <cell r="O24">
            <v>0.30499999999999999</v>
          </cell>
          <cell r="P24">
            <v>0.30499999999999999</v>
          </cell>
          <cell r="Q24">
            <v>0.30499999999999999</v>
          </cell>
          <cell r="R24">
            <v>0.30499999999999999</v>
          </cell>
          <cell r="S24">
            <v>0.30499999999999999</v>
          </cell>
          <cell r="T24">
            <v>0.30499999999999999</v>
          </cell>
          <cell r="U24">
            <v>0.30499999999999999</v>
          </cell>
          <cell r="V24">
            <v>0.30499999999999999</v>
          </cell>
          <cell r="W24">
            <v>0.30499999999999999</v>
          </cell>
          <cell r="X24">
            <v>0.30499999999999999</v>
          </cell>
        </row>
        <row r="25">
          <cell r="C25" t="str">
            <v>电力合计</v>
          </cell>
          <cell r="D25">
            <v>0.43260066176626299</v>
          </cell>
          <cell r="E25">
            <v>0.52197266328749303</v>
          </cell>
          <cell r="F25">
            <v>0.56143438308373195</v>
          </cell>
          <cell r="G25">
            <v>0.32850032683181701</v>
          </cell>
          <cell r="H25">
            <v>0.33461165048543601</v>
          </cell>
          <cell r="I25">
            <v>0.33461165048543601</v>
          </cell>
          <cell r="J25">
            <v>0.33461165048543801</v>
          </cell>
          <cell r="K25">
            <v>0.32903931792008201</v>
          </cell>
          <cell r="L25">
            <v>0.58280230174898795</v>
          </cell>
          <cell r="M25">
            <v>0.58497258101841698</v>
          </cell>
          <cell r="N25">
            <v>0.58674406158588599</v>
          </cell>
          <cell r="O25">
            <v>0.585193969337375</v>
          </cell>
          <cell r="P25">
            <v>0.58237394266070397</v>
          </cell>
          <cell r="Q25">
            <v>0.58136246427309302</v>
          </cell>
          <cell r="R25">
            <v>0.58330984497131699</v>
          </cell>
          <cell r="S25">
            <v>0.58233786443889701</v>
          </cell>
          <cell r="T25">
            <v>0.58327123304540096</v>
          </cell>
          <cell r="U25">
            <v>0.58636923468672697</v>
          </cell>
          <cell r="V25">
            <v>0.58106904180353103</v>
          </cell>
          <cell r="W25">
            <v>0.57575147638337898</v>
          </cell>
          <cell r="X25">
            <v>0.58290516831162598</v>
          </cell>
        </row>
        <row r="26">
          <cell r="A26" t="str">
            <v>综合厂用电率</v>
          </cell>
          <cell r="B26" t="str">
            <v>%</v>
          </cell>
          <cell r="C26" t="str">
            <v>百矿电</v>
          </cell>
          <cell r="D26">
            <v>6.7905648406386696</v>
          </cell>
          <cell r="E26">
            <v>7.0921665465728196</v>
          </cell>
          <cell r="F26">
            <v>6.2577530148306204</v>
          </cell>
          <cell r="G26">
            <v>6.1704281316096496</v>
          </cell>
          <cell r="H26">
            <v>6.49</v>
          </cell>
          <cell r="I26">
            <v>6.49</v>
          </cell>
          <cell r="J26">
            <v>6.49</v>
          </cell>
          <cell r="K26">
            <v>6.2553543872710096</v>
          </cell>
          <cell r="L26">
            <v>6.2515365468520399</v>
          </cell>
          <cell r="M26">
            <v>5.83289646103779</v>
          </cell>
          <cell r="N26">
            <v>6.1238304739730003</v>
          </cell>
          <cell r="O26">
            <v>6.07639564965476</v>
          </cell>
          <cell r="P26">
            <v>6.1435991470855802</v>
          </cell>
          <cell r="Q26">
            <v>6.0160329365477496</v>
          </cell>
          <cell r="R26">
            <v>6.8556137813762099</v>
          </cell>
          <cell r="S26">
            <v>6.5922843019481299</v>
          </cell>
          <cell r="T26">
            <v>6.6410681898192401</v>
          </cell>
          <cell r="U26">
            <v>6.2033979435812903</v>
          </cell>
          <cell r="V26">
            <v>6.74558173784978</v>
          </cell>
          <cell r="W26">
            <v>6.1280672082601102</v>
          </cell>
          <cell r="X26">
            <v>6.09522991327115</v>
          </cell>
        </row>
        <row r="27">
          <cell r="C27" t="str">
            <v>银海电</v>
          </cell>
          <cell r="D27">
            <v>11.495463244028199</v>
          </cell>
          <cell r="E27">
            <v>10.332695038749801</v>
          </cell>
          <cell r="F27">
            <v>10.137447561735099</v>
          </cell>
          <cell r="G27">
            <v>9.2670052711355595</v>
          </cell>
          <cell r="H27">
            <v>9.7825406925645897</v>
          </cell>
          <cell r="I27">
            <v>9.2895444454866496</v>
          </cell>
          <cell r="J27">
            <v>8.83</v>
          </cell>
          <cell r="K27">
            <v>9.2845779522438807</v>
          </cell>
          <cell r="L27">
            <v>9.2624614447410991</v>
          </cell>
          <cell r="M27">
            <v>8.8263369882147593</v>
          </cell>
          <cell r="N27">
            <v>9.4090315186346096</v>
          </cell>
          <cell r="O27">
            <v>8.7917916178661102</v>
          </cell>
          <cell r="P27">
            <v>9.0738615979209793</v>
          </cell>
          <cell r="Q27">
            <v>9.3864853006793503</v>
          </cell>
          <cell r="R27">
            <v>10.038055670667299</v>
          </cell>
          <cell r="S27">
            <v>9.3885545484794903</v>
          </cell>
          <cell r="T27">
            <v>9.1614561615812597</v>
          </cell>
          <cell r="U27">
            <v>10.498031988687799</v>
          </cell>
          <cell r="V27">
            <v>9.1775289568125693</v>
          </cell>
          <cell r="W27">
            <v>9.16430755105762</v>
          </cell>
          <cell r="X27">
            <v>9.0735471918340806</v>
          </cell>
        </row>
        <row r="28">
          <cell r="C28" t="str">
            <v>田东电</v>
          </cell>
          <cell r="D28">
            <v>10.752720694351201</v>
          </cell>
          <cell r="E28">
            <v>10.3597185744153</v>
          </cell>
          <cell r="F28">
            <v>9.1135432054428591</v>
          </cell>
          <cell r="G28">
            <v>9.0125661882261099</v>
          </cell>
          <cell r="H28">
            <v>9.2065354025424497</v>
          </cell>
          <cell r="I28">
            <v>9.0522924435109502</v>
          </cell>
          <cell r="J28">
            <v>8.9600000000000009</v>
          </cell>
          <cell r="K28">
            <v>9.0271236921414193</v>
          </cell>
          <cell r="L28">
            <v>8.9758868903005506</v>
          </cell>
          <cell r="M28">
            <v>8.6442102833735408</v>
          </cell>
          <cell r="N28">
            <v>8.4464167626556304</v>
          </cell>
          <cell r="O28">
            <v>8.7300678620004408</v>
          </cell>
          <cell r="P28">
            <v>8.8492157932029194</v>
          </cell>
          <cell r="Q28">
            <v>8.7097014827729105</v>
          </cell>
          <cell r="R28">
            <v>9.4895722205299506</v>
          </cell>
          <cell r="S28">
            <v>9.7297121858463704</v>
          </cell>
          <cell r="T28">
            <v>9.63177972329159</v>
          </cell>
          <cell r="U28">
            <v>9.4886428539975896</v>
          </cell>
          <cell r="V28">
            <v>9.0807690954704992</v>
          </cell>
          <cell r="W28">
            <v>8.9085801421115498</v>
          </cell>
          <cell r="X28">
            <v>8.8606779293913895</v>
          </cell>
        </row>
        <row r="29">
          <cell r="C29" t="str">
            <v>德保电</v>
          </cell>
          <cell r="D29">
            <v>8.9089378899164107</v>
          </cell>
          <cell r="E29">
            <v>7.2730822827321502</v>
          </cell>
          <cell r="F29">
            <v>6.3005146605419098</v>
          </cell>
          <cell r="G29">
            <v>6.0138236976940398</v>
          </cell>
          <cell r="H29">
            <v>6.6320860467794196</v>
          </cell>
          <cell r="I29">
            <v>6.6320860467794196</v>
          </cell>
          <cell r="J29">
            <v>6.12</v>
          </cell>
          <cell r="K29">
            <v>6.0684713470431104</v>
          </cell>
          <cell r="L29">
            <v>6.01362402006579</v>
          </cell>
          <cell r="M29">
            <v>5.5496972595368002</v>
          </cell>
          <cell r="N29">
            <v>5.4134465669289797</v>
          </cell>
          <cell r="O29">
            <v>5.6997793173246798</v>
          </cell>
          <cell r="P29">
            <v>6.0242061286935096</v>
          </cell>
          <cell r="Q29">
            <v>6.9714658555556603</v>
          </cell>
          <cell r="R29">
            <v>6.0249361884536698</v>
          </cell>
          <cell r="S29">
            <v>6.0731562212575501</v>
          </cell>
          <cell r="T29">
            <v>6.4996140435571599</v>
          </cell>
          <cell r="U29">
            <v>5.9535121906778103</v>
          </cell>
          <cell r="V29">
            <v>5.9071568967383596</v>
          </cell>
          <cell r="W29">
            <v>5.9642407810870797</v>
          </cell>
          <cell r="X29">
            <v>6.25848225141422</v>
          </cell>
        </row>
        <row r="30">
          <cell r="C30" t="str">
            <v>电力合计</v>
          </cell>
          <cell r="D30">
            <v>8.5828792966690006</v>
          </cell>
          <cell r="E30">
            <v>7.5741657321315401</v>
          </cell>
          <cell r="F30">
            <v>7.0908497937704098</v>
          </cell>
          <cell r="G30">
            <v>6.9059396388688103</v>
          </cell>
          <cell r="H30">
            <v>7.6962766004609096</v>
          </cell>
          <cell r="I30">
            <v>7.1410659753098598</v>
          </cell>
          <cell r="J30">
            <v>6.7386083324172796</v>
          </cell>
          <cell r="K30">
            <v>6.9642466805041199</v>
          </cell>
          <cell r="L30">
            <v>7.0613599925224904</v>
          </cell>
          <cell r="M30">
            <v>6.7655259766924303</v>
          </cell>
          <cell r="N30">
            <v>6.9508556112542603</v>
          </cell>
          <cell r="O30">
            <v>7.1319549218766802</v>
          </cell>
          <cell r="P30">
            <v>7.1388870172521397</v>
          </cell>
          <cell r="Q30">
            <v>7.3385023657038104</v>
          </cell>
          <cell r="R30">
            <v>7.1753799546818602</v>
          </cell>
          <cell r="S30">
            <v>7.1408408370860199</v>
          </cell>
          <cell r="T30">
            <v>7.25533439670318</v>
          </cell>
          <cell r="U30">
            <v>6.7227525399230599</v>
          </cell>
          <cell r="V30">
            <v>7.1280260253409597</v>
          </cell>
          <cell r="W30">
            <v>6.9801912117781404</v>
          </cell>
          <cell r="X30">
            <v>7.0728630416515799</v>
          </cell>
        </row>
        <row r="31">
          <cell r="A31" t="str">
            <v>发电标煤耗</v>
          </cell>
          <cell r="B31" t="str">
            <v>克/度</v>
          </cell>
          <cell r="C31" t="str">
            <v>百矿电</v>
          </cell>
          <cell r="D31">
            <v>328.11838274875299</v>
          </cell>
          <cell r="E31">
            <v>326.50036897567298</v>
          </cell>
          <cell r="F31">
            <v>318.26726237690502</v>
          </cell>
          <cell r="G31">
            <v>314.82408715190701</v>
          </cell>
          <cell r="H31">
            <v>316.12837715262702</v>
          </cell>
          <cell r="I31">
            <v>315.97853892281398</v>
          </cell>
          <cell r="J31">
            <v>313.5</v>
          </cell>
          <cell r="K31">
            <v>314.86571630969502</v>
          </cell>
          <cell r="L31">
            <v>308.67778618033174</v>
          </cell>
          <cell r="M31">
            <v>303.41635727831039</v>
          </cell>
          <cell r="N31">
            <v>306.37403651369237</v>
          </cell>
          <cell r="O31">
            <v>306.69123491041995</v>
          </cell>
          <cell r="P31">
            <v>308.34181432148984</v>
          </cell>
          <cell r="Q31">
            <v>309.75425249934131</v>
          </cell>
          <cell r="R31">
            <v>313.53180780272879</v>
          </cell>
          <cell r="S31">
            <v>313.89557202990585</v>
          </cell>
          <cell r="T31">
            <v>313.2127594015048</v>
          </cell>
          <cell r="U31">
            <v>311.77279117971949</v>
          </cell>
          <cell r="V31">
            <v>308.30466971136048</v>
          </cell>
          <cell r="W31">
            <v>306.89924128618946</v>
          </cell>
          <cell r="X31">
            <v>304.66691904280162</v>
          </cell>
        </row>
        <row r="32">
          <cell r="C32" t="str">
            <v>银海电</v>
          </cell>
          <cell r="D32">
            <v>345.51252212200598</v>
          </cell>
          <cell r="E32">
            <v>348.97144385900401</v>
          </cell>
          <cell r="F32">
            <v>342.98270272201802</v>
          </cell>
          <cell r="G32">
            <v>349.10945624859397</v>
          </cell>
          <cell r="H32">
            <v>353.814873698339</v>
          </cell>
          <cell r="I32">
            <v>350.958628710992</v>
          </cell>
          <cell r="J32">
            <v>339.6</v>
          </cell>
          <cell r="K32">
            <v>348.78106373498099</v>
          </cell>
          <cell r="L32">
            <v>345.04869575189588</v>
          </cell>
          <cell r="M32">
            <v>341.22981279292588</v>
          </cell>
          <cell r="N32">
            <v>341.47208038823692</v>
          </cell>
          <cell r="O32">
            <v>341.53726897302926</v>
          </cell>
          <cell r="P32">
            <v>340.22974371785125</v>
          </cell>
          <cell r="Q32">
            <v>347.02856026939253</v>
          </cell>
          <cell r="R32">
            <v>354.42164428051154</v>
          </cell>
          <cell r="S32">
            <v>354.15439340591342</v>
          </cell>
          <cell r="T32">
            <v>349.97283600053225</v>
          </cell>
          <cell r="U32">
            <v>348.32972494450047</v>
          </cell>
          <cell r="V32">
            <v>350.29736141072243</v>
          </cell>
          <cell r="W32">
            <v>338.65896845445707</v>
          </cell>
          <cell r="X32">
            <v>337.9523275217586</v>
          </cell>
        </row>
        <row r="33">
          <cell r="C33" t="str">
            <v>田东电</v>
          </cell>
          <cell r="D33">
            <v>362.01469169921899</v>
          </cell>
          <cell r="E33">
            <v>350.40525293562501</v>
          </cell>
          <cell r="F33">
            <v>355.443974806683</v>
          </cell>
          <cell r="G33">
            <v>348.76753242341903</v>
          </cell>
          <cell r="H33">
            <v>347.51860281637499</v>
          </cell>
          <cell r="I33">
            <v>348.96586460520302</v>
          </cell>
          <cell r="J33">
            <v>346.5</v>
          </cell>
          <cell r="K33">
            <v>348.44205625113</v>
          </cell>
          <cell r="L33">
            <v>336.07605746601337</v>
          </cell>
          <cell r="M33">
            <v>332.73936783572537</v>
          </cell>
          <cell r="N33">
            <v>331.72110687643152</v>
          </cell>
          <cell r="O33">
            <v>335.01929764104813</v>
          </cell>
          <cell r="P33">
            <v>336.45558788675049</v>
          </cell>
          <cell r="Q33">
            <v>338.04313582893718</v>
          </cell>
          <cell r="R33">
            <v>338.24465610062481</v>
          </cell>
          <cell r="S33">
            <v>341.64585408922113</v>
          </cell>
          <cell r="T33">
            <v>341.5782327353466</v>
          </cell>
          <cell r="U33">
            <v>340.36061228893249</v>
          </cell>
          <cell r="V33">
            <v>337.44214494998101</v>
          </cell>
          <cell r="W33">
            <v>332.34174391722632</v>
          </cell>
          <cell r="X33">
            <v>333.89995457514908</v>
          </cell>
        </row>
        <row r="34">
          <cell r="C34" t="str">
            <v>德保电</v>
          </cell>
          <cell r="D34">
            <v>354.95641273110999</v>
          </cell>
          <cell r="E34">
            <v>335.14169393568</v>
          </cell>
          <cell r="F34">
            <v>305.506729513479</v>
          </cell>
          <cell r="G34">
            <v>299.03999371135501</v>
          </cell>
          <cell r="H34">
            <v>306.59530520172501</v>
          </cell>
          <cell r="I34">
            <v>306.36168243584598</v>
          </cell>
          <cell r="J34">
            <v>298.55</v>
          </cell>
          <cell r="K34">
            <v>300.38808461635301</v>
          </cell>
          <cell r="L34">
            <v>304.41514560616992</v>
          </cell>
          <cell r="M34">
            <v>299.56374050357243</v>
          </cell>
          <cell r="N34">
            <v>297.35029549117826</v>
          </cell>
          <cell r="O34">
            <v>302.2662362325745</v>
          </cell>
          <cell r="P34">
            <v>307.32825877461448</v>
          </cell>
          <cell r="Q34">
            <v>306.72291546633636</v>
          </cell>
          <cell r="R34">
            <v>306.39111413481146</v>
          </cell>
          <cell r="S34">
            <v>307.29935511931598</v>
          </cell>
          <cell r="T34">
            <v>305.89658300311248</v>
          </cell>
          <cell r="U34">
            <v>306.08690312323262</v>
          </cell>
          <cell r="V34">
            <v>300.16853478549092</v>
          </cell>
          <cell r="W34">
            <v>306.35258801298261</v>
          </cell>
          <cell r="X34">
            <v>304.36503735526202</v>
          </cell>
        </row>
        <row r="35">
          <cell r="C35" t="str">
            <v>电力合计</v>
          </cell>
          <cell r="D35">
            <v>338.52935071798498</v>
          </cell>
          <cell r="E35">
            <v>333.54162171989202</v>
          </cell>
          <cell r="F35">
            <v>320.30001811639801</v>
          </cell>
          <cell r="G35">
            <v>317.87640535879899</v>
          </cell>
          <cell r="H35">
            <v>329.14134362550101</v>
          </cell>
          <cell r="I35">
            <v>321.22073235405497</v>
          </cell>
          <cell r="J35">
            <v>319.07788281851202</v>
          </cell>
          <cell r="K35">
            <v>319.15870502811902</v>
          </cell>
          <cell r="L35">
            <v>317.17416298230512</v>
          </cell>
          <cell r="M35">
            <v>314.12381483451156</v>
          </cell>
          <cell r="N35">
            <v>314.86237124552082</v>
          </cell>
          <cell r="O35">
            <v>319.17948720365825</v>
          </cell>
          <cell r="P35">
            <v>319.01141520887364</v>
          </cell>
          <cell r="Q35">
            <v>322.71246271899298</v>
          </cell>
          <cell r="R35">
            <v>318.13094429377702</v>
          </cell>
          <cell r="S35">
            <v>320.69421944354235</v>
          </cell>
          <cell r="T35">
            <v>318.02443130706109</v>
          </cell>
          <cell r="U35">
            <v>314.67363059550092</v>
          </cell>
          <cell r="V35">
            <v>315.98088373163102</v>
          </cell>
          <cell r="W35">
            <v>315.63232275417573</v>
          </cell>
          <cell r="X35">
            <v>314.76456129703013</v>
          </cell>
        </row>
        <row r="36">
          <cell r="A36" t="str">
            <v>标煤价</v>
          </cell>
          <cell r="B36" t="str">
            <v>元/大卡</v>
          </cell>
          <cell r="C36" t="str">
            <v>百矿电</v>
          </cell>
          <cell r="D36">
            <v>0.157768283782938</v>
          </cell>
          <cell r="E36">
            <v>0.16836727440375701</v>
          </cell>
          <cell r="F36">
            <v>0.15780924069807201</v>
          </cell>
          <cell r="G36">
            <v>0.14956117940598199</v>
          </cell>
          <cell r="H36">
            <v>0.14077738772214901</v>
          </cell>
          <cell r="I36">
            <v>0.14159995611026799</v>
          </cell>
          <cell r="J36">
            <v>0.13867634157584999</v>
          </cell>
          <cell r="K36">
            <v>0.147254088998723</v>
          </cell>
          <cell r="L36">
            <v>0.14289213050940128</v>
          </cell>
          <cell r="M36">
            <v>0.142364811734531</v>
          </cell>
          <cell r="N36">
            <v>0.13961438088251699</v>
          </cell>
          <cell r="O36">
            <v>0.143159958398313</v>
          </cell>
          <cell r="P36">
            <v>0.14094721155731299</v>
          </cell>
          <cell r="Q36">
            <v>0.14163166606181499</v>
          </cell>
          <cell r="R36">
            <v>0.14108683684616599</v>
          </cell>
          <cell r="S36">
            <v>0.144719296187719</v>
          </cell>
          <cell r="T36">
            <v>0.14682714874605601</v>
          </cell>
          <cell r="U36">
            <v>0.14655981736350701</v>
          </cell>
          <cell r="V36">
            <v>0.14477001303523501</v>
          </cell>
          <cell r="W36">
            <v>0.13993262370769399</v>
          </cell>
          <cell r="X36">
            <v>0.14329870902084599</v>
          </cell>
        </row>
        <row r="37">
          <cell r="C37" t="str">
            <v>银海电</v>
          </cell>
          <cell r="D37">
            <v>0.14585413617363999</v>
          </cell>
          <cell r="E37">
            <v>0.184788695713485</v>
          </cell>
          <cell r="F37">
            <v>0.17208257732316601</v>
          </cell>
          <cell r="G37">
            <v>0.15344306194853899</v>
          </cell>
          <cell r="H37">
            <v>0.156127376387238</v>
          </cell>
          <cell r="I37">
            <v>0.138838747997096</v>
          </cell>
          <cell r="J37">
            <v>0.15634748953108199</v>
          </cell>
          <cell r="K37">
            <v>0.15303923205511599</v>
          </cell>
          <cell r="L37">
            <v>0.1530496427967433</v>
          </cell>
          <cell r="M37">
            <v>0.15763494804772901</v>
          </cell>
          <cell r="N37">
            <v>0.15373165891073401</v>
          </cell>
          <cell r="O37">
            <v>0.143620831749429</v>
          </cell>
          <cell r="P37">
            <v>0.15775312818093101</v>
          </cell>
          <cell r="Q37">
            <v>0.15467871327808899</v>
          </cell>
          <cell r="R37">
            <v>0.15089883015455199</v>
          </cell>
          <cell r="S37">
            <v>0.14611051356178401</v>
          </cell>
          <cell r="T37">
            <v>0.14646893810341399</v>
          </cell>
          <cell r="U37">
            <v>0.156294911467665</v>
          </cell>
          <cell r="V37">
            <v>0.14920098102981699</v>
          </cell>
          <cell r="W37">
            <v>0.15934512473665499</v>
          </cell>
          <cell r="X37">
            <v>0.15996012260774101</v>
          </cell>
        </row>
        <row r="38">
          <cell r="C38" t="str">
            <v>田东电</v>
          </cell>
          <cell r="D38">
            <v>0.12292950614804</v>
          </cell>
          <cell r="E38">
            <v>0.21434070516898199</v>
          </cell>
          <cell r="F38">
            <v>0.169984161692008</v>
          </cell>
          <cell r="G38">
            <v>0.15880875219165</v>
          </cell>
          <cell r="H38">
            <v>0.16018823695509499</v>
          </cell>
          <cell r="I38">
            <v>0.16041351851799601</v>
          </cell>
          <cell r="J38">
            <v>0.16265468254147999</v>
          </cell>
          <cell r="K38">
            <v>0.15969475846087799</v>
          </cell>
          <cell r="L38">
            <v>0.15573490676998314</v>
          </cell>
          <cell r="M38">
            <v>0.15999745421360601</v>
          </cell>
          <cell r="N38">
            <v>0.15538730592139699</v>
          </cell>
          <cell r="O38">
            <v>0.14963614345634901</v>
          </cell>
          <cell r="P38">
            <v>0.154035013338232</v>
          </cell>
          <cell r="Q38">
            <v>0.15787344022785799</v>
          </cell>
          <cell r="R38">
            <v>0.15666516613491999</v>
          </cell>
          <cell r="S38">
            <v>0.15430330771440101</v>
          </cell>
          <cell r="T38">
            <v>0.154228893007684</v>
          </cell>
          <cell r="U38">
            <v>0.14993609429789001</v>
          </cell>
          <cell r="V38">
            <v>0.157594814098793</v>
          </cell>
          <cell r="W38">
            <v>0.16024808290421699</v>
          </cell>
          <cell r="X38">
            <v>0.15484373207310501</v>
          </cell>
        </row>
        <row r="39">
          <cell r="C39" t="str">
            <v>德保电</v>
          </cell>
          <cell r="D39">
            <v>0</v>
          </cell>
          <cell r="E39">
            <v>0.21275707610094299</v>
          </cell>
          <cell r="F39">
            <v>0.17226319454264399</v>
          </cell>
          <cell r="G39">
            <v>0.16308604917557301</v>
          </cell>
          <cell r="H39">
            <v>0.15614783877176699</v>
          </cell>
          <cell r="I39">
            <v>0.15676321786747499</v>
          </cell>
          <cell r="J39">
            <v>0.15924739912990599</v>
          </cell>
          <cell r="K39">
            <v>0.16248703102293099</v>
          </cell>
          <cell r="L39">
            <v>0.15859369591051592</v>
          </cell>
          <cell r="M39">
            <v>0.15648607158650599</v>
          </cell>
          <cell r="N39">
            <v>0.15479587932414801</v>
          </cell>
          <cell r="O39">
            <v>0.153151617478959</v>
          </cell>
          <cell r="P39">
            <v>0.154926028063511</v>
          </cell>
          <cell r="Q39">
            <v>0.155825445176594</v>
          </cell>
          <cell r="R39">
            <v>0.15998823461332201</v>
          </cell>
          <cell r="S39">
            <v>0.15917873104515401</v>
          </cell>
          <cell r="T39">
            <v>0.16065835019928701</v>
          </cell>
          <cell r="U39">
            <v>0.159515836712041</v>
          </cell>
          <cell r="V39">
            <v>0.16405602082283299</v>
          </cell>
          <cell r="W39">
            <v>0.15689819269840299</v>
          </cell>
          <cell r="X39">
            <v>0.156148664029652</v>
          </cell>
        </row>
        <row r="40">
          <cell r="C40" t="str">
            <v>电力合计</v>
          </cell>
          <cell r="D40">
            <v>0.13961795025038801</v>
          </cell>
          <cell r="E40">
            <v>0.16836727440375701</v>
          </cell>
          <cell r="F40">
            <v>0.16668491016799</v>
          </cell>
          <cell r="G40">
            <v>0.15631409735832399</v>
          </cell>
          <cell r="H40">
            <v>0.14937677615575101</v>
          </cell>
          <cell r="I40">
            <v>0.146460610022426</v>
          </cell>
          <cell r="J40">
            <v>0.15035890724558201</v>
          </cell>
          <cell r="K40">
            <v>0.15490265512635901</v>
          </cell>
          <cell r="L40">
            <v>0.15186602584216549</v>
          </cell>
          <cell r="M40">
            <v>0.15160394204223504</v>
          </cell>
          <cell r="N40">
            <v>0.15050263666703026</v>
          </cell>
          <cell r="O40">
            <v>0.1475124691518919</v>
          </cell>
          <cell r="P40">
            <v>0.14988268479975814</v>
          </cell>
          <cell r="Q40">
            <v>0.14920720250824066</v>
          </cell>
          <cell r="R40">
            <v>0.15293193768565055</v>
          </cell>
          <cell r="S40">
            <v>0.15279126200132262</v>
          </cell>
          <cell r="T40">
            <v>0.15368812363846276</v>
          </cell>
          <cell r="U40">
            <v>0.15333578336127926</v>
          </cell>
          <cell r="V40">
            <v>0.15545130197266091</v>
          </cell>
          <cell r="W40">
            <v>0.15144398717800975</v>
          </cell>
          <cell r="X40">
            <v>0.15157368477080255</v>
          </cell>
        </row>
        <row r="41">
          <cell r="A41" t="str">
            <v>外购煤采购价</v>
          </cell>
          <cell r="B41" t="str">
            <v>元/大卡</v>
          </cell>
          <cell r="C41" t="str">
            <v>百矿电</v>
          </cell>
          <cell r="F41">
            <v>0.18482799996559299</v>
          </cell>
          <cell r="G41">
            <v>0.16760558677854101</v>
          </cell>
          <cell r="H41">
            <v>0.158611101969446</v>
          </cell>
          <cell r="I41">
            <v>0.162697076516717</v>
          </cell>
          <cell r="J41">
            <v>0.15967587403713601</v>
          </cell>
          <cell r="K41">
            <v>0.16609668537226599</v>
          </cell>
          <cell r="L41">
            <v>0.16439163309012944</v>
          </cell>
          <cell r="M41">
            <v>0.16631776505454901</v>
          </cell>
          <cell r="N41">
            <v>0.165716568542084</v>
          </cell>
          <cell r="O41">
            <v>0.167534100094646</v>
          </cell>
          <cell r="P41">
            <v>0.165595611683264</v>
          </cell>
          <cell r="Q41">
            <v>0.163761977779879</v>
          </cell>
          <cell r="R41">
            <v>0.166021712381479</v>
          </cell>
          <cell r="S41">
            <v>0.16382347024267599</v>
          </cell>
          <cell r="T41">
            <v>0.16184924132487</v>
          </cell>
          <cell r="U41">
            <v>0.164563770773823</v>
          </cell>
          <cell r="V41">
            <v>0.16813833451576199</v>
          </cell>
          <cell r="W41">
            <v>0.16184293701409</v>
          </cell>
          <cell r="X41">
            <v>0.16092520964416401</v>
          </cell>
        </row>
        <row r="42">
          <cell r="C42" t="str">
            <v>银海电</v>
          </cell>
          <cell r="F42">
            <v>0.184434697467207</v>
          </cell>
          <cell r="G42">
            <v>0.168216773141425</v>
          </cell>
          <cell r="H42">
            <v>0.16431684693555401</v>
          </cell>
          <cell r="I42">
            <v>0.16217270125015401</v>
          </cell>
          <cell r="J42">
            <v>0.16430907324209901</v>
          </cell>
          <cell r="K42">
            <v>0.16740930355495601</v>
          </cell>
          <cell r="L42">
            <v>0.16360677617224922</v>
          </cell>
          <cell r="M42">
            <v>0.15991550174320299</v>
          </cell>
          <cell r="N42">
            <v>0.16265885486348899</v>
          </cell>
          <cell r="O42">
            <v>0.168959501855942</v>
          </cell>
          <cell r="P42">
            <v>0.161940656340192</v>
          </cell>
          <cell r="Q42">
            <v>0.15651844397287901</v>
          </cell>
          <cell r="R42">
            <v>0.16494491295407801</v>
          </cell>
          <cell r="S42">
            <v>0.16998007960025999</v>
          </cell>
          <cell r="T42">
            <v>0.16956242374939201</v>
          </cell>
          <cell r="U42">
            <v>0.16300681104933901</v>
          </cell>
          <cell r="V42">
            <v>0.16530317139203901</v>
          </cell>
          <cell r="W42">
            <v>0.16184731434358099</v>
          </cell>
          <cell r="X42">
            <v>0.16000002025893301</v>
          </cell>
        </row>
        <row r="43">
          <cell r="C43" t="str">
            <v>田东电</v>
          </cell>
          <cell r="F43">
            <v>0.181247787534701</v>
          </cell>
          <cell r="G43">
            <v>0.17501071063493301</v>
          </cell>
          <cell r="H43">
            <v>0.16800167141604</v>
          </cell>
          <cell r="I43">
            <v>0.174108072425781</v>
          </cell>
          <cell r="J43">
            <v>0.17458073394078399</v>
          </cell>
          <cell r="K43">
            <v>0.17461598185366001</v>
          </cell>
          <cell r="L43">
            <v>0.16177039511599783</v>
          </cell>
          <cell r="M43">
            <v>0.16144322723437601</v>
          </cell>
          <cell r="N43">
            <v>0.16484231605977301</v>
          </cell>
          <cell r="O43">
            <v>0.16196394936921699</v>
          </cell>
          <cell r="P43">
            <v>0.159006894511143</v>
          </cell>
          <cell r="Q43">
            <v>0.15787344022785799</v>
          </cell>
          <cell r="R43">
            <v>0.160683127690429</v>
          </cell>
          <cell r="S43">
            <v>0.15930744858088799</v>
          </cell>
          <cell r="T43">
            <v>0.15931741619841899</v>
          </cell>
          <cell r="U43">
            <v>0.16259560896835901</v>
          </cell>
          <cell r="V43">
            <v>0.16134732137063601</v>
          </cell>
          <cell r="W43">
            <v>0.163197897331988</v>
          </cell>
          <cell r="X43">
            <v>0.16827316501409301</v>
          </cell>
        </row>
        <row r="44">
          <cell r="C44" t="str">
            <v>德保电</v>
          </cell>
          <cell r="F44">
            <v>0.17171909148893</v>
          </cell>
          <cell r="G44">
            <v>0.16336357743719301</v>
          </cell>
          <cell r="H44">
            <v>0.15614783877176699</v>
          </cell>
          <cell r="I44">
            <v>0.15676321786747499</v>
          </cell>
          <cell r="J44">
            <v>0.15924739912990599</v>
          </cell>
          <cell r="K44">
            <v>0.162722447459026</v>
          </cell>
          <cell r="L44">
            <v>0.15859369591051592</v>
          </cell>
          <cell r="M44">
            <v>0.15648607158650599</v>
          </cell>
          <cell r="N44">
            <v>0.15479587932414801</v>
          </cell>
          <cell r="O44">
            <v>0.153151617478959</v>
          </cell>
          <cell r="P44">
            <v>0.154926028063511</v>
          </cell>
          <cell r="Q44">
            <v>0.155825445176594</v>
          </cell>
          <cell r="R44">
            <v>0.15998823461332201</v>
          </cell>
          <cell r="S44">
            <v>0.15917873104515401</v>
          </cell>
          <cell r="T44">
            <v>0.16065835019928701</v>
          </cell>
          <cell r="U44">
            <v>0.159515836712041</v>
          </cell>
          <cell r="V44">
            <v>0.16405602082283299</v>
          </cell>
          <cell r="W44">
            <v>0.15689819269840299</v>
          </cell>
          <cell r="X44">
            <v>0.156148664029652</v>
          </cell>
        </row>
        <row r="45">
          <cell r="C45" t="str">
            <v>电力合计</v>
          </cell>
          <cell r="F45">
            <v>0.17806581645875499</v>
          </cell>
          <cell r="G45">
            <v>0.166642264579907</v>
          </cell>
          <cell r="H45">
            <v>0.161965058076218</v>
          </cell>
          <cell r="I45">
            <v>0.16032455202656601</v>
          </cell>
          <cell r="J45">
            <v>0.163169061292289</v>
          </cell>
          <cell r="K45">
            <v>0.16595452678473299</v>
          </cell>
          <cell r="L45">
            <v>0.16193456820161042</v>
          </cell>
          <cell r="M45">
            <v>0.16199400885130336</v>
          </cell>
          <cell r="N45">
            <v>0.16161217483208601</v>
          </cell>
          <cell r="O45">
            <v>0.16259216436702395</v>
          </cell>
          <cell r="P45">
            <v>0.16125665422253371</v>
          </cell>
          <cell r="Q45">
            <v>0.16017444040158213</v>
          </cell>
          <cell r="R45">
            <v>0.16246036768313496</v>
          </cell>
          <cell r="S45">
            <v>0.16247756893818796</v>
          </cell>
          <cell r="T45">
            <v>0.16211984224744</v>
          </cell>
          <cell r="U45">
            <v>0.16208343147104523</v>
          </cell>
          <cell r="V45">
            <v>0.16489177517059794</v>
          </cell>
          <cell r="W45">
            <v>0.16059952890329179</v>
          </cell>
          <cell r="X45">
            <v>0.1607132928803694</v>
          </cell>
        </row>
        <row r="46">
          <cell r="A46" t="str">
            <v>综合单位成本</v>
          </cell>
          <cell r="B46" t="str">
            <v>元/度</v>
          </cell>
          <cell r="C46" t="str">
            <v>百矿电</v>
          </cell>
          <cell r="D46">
            <v>0.386845337452076</v>
          </cell>
          <cell r="E46">
            <v>0.49293816968221099</v>
          </cell>
          <cell r="F46">
            <v>0.40826650073564902</v>
          </cell>
          <cell r="G46">
            <v>0.39614262702594</v>
          </cell>
          <cell r="H46">
            <v>0.39501057654484401</v>
          </cell>
          <cell r="I46">
            <v>0.42756964892434901</v>
          </cell>
          <cell r="J46">
            <v>0.40089897031635302</v>
          </cell>
          <cell r="K46">
            <v>0.39878272937336201</v>
          </cell>
          <cell r="L46">
            <v>0.41044506862095897</v>
          </cell>
          <cell r="M46">
            <v>0.37580921364605002</v>
          </cell>
          <cell r="N46">
            <v>0.464441622127585</v>
          </cell>
          <cell r="O46">
            <v>0.54923145182622102</v>
          </cell>
          <cell r="P46">
            <v>0.37744709286902201</v>
          </cell>
          <cell r="Q46">
            <v>0.393845655158367</v>
          </cell>
          <cell r="R46">
            <v>0.429543617480457</v>
          </cell>
          <cell r="S46">
            <v>0.51744671831741196</v>
          </cell>
          <cell r="T46">
            <v>0.40916153858312199</v>
          </cell>
          <cell r="U46">
            <v>0.39546127689134503</v>
          </cell>
          <cell r="V46">
            <v>0.41869974905646701</v>
          </cell>
          <cell r="W46">
            <v>0.37864757876388</v>
          </cell>
          <cell r="X46">
            <v>0.37884883108357997</v>
          </cell>
        </row>
        <row r="47">
          <cell r="C47" t="str">
            <v>银海电</v>
          </cell>
          <cell r="D47">
            <v>0.416800484190054</v>
          </cell>
          <cell r="E47">
            <v>0.65710607587831404</v>
          </cell>
          <cell r="F47">
            <v>0.50463133212010802</v>
          </cell>
          <cell r="G47">
            <v>0.45180919319782298</v>
          </cell>
          <cell r="H47">
            <v>0.46935989701764402</v>
          </cell>
          <cell r="I47">
            <v>0.46553230504087101</v>
          </cell>
          <cell r="J47">
            <v>0.46885895573153702</v>
          </cell>
          <cell r="K47">
            <v>0.456243667012808</v>
          </cell>
          <cell r="L47">
            <v>0.453052583788428</v>
          </cell>
          <cell r="M47">
            <v>0.43814655536828701</v>
          </cell>
          <cell r="N47">
            <v>0.46540081867467398</v>
          </cell>
          <cell r="O47">
            <v>0.41135312721856199</v>
          </cell>
          <cell r="P47">
            <v>0.44003355598410798</v>
          </cell>
          <cell r="Q47">
            <v>0.44684516743394498</v>
          </cell>
          <cell r="R47">
            <v>0.50758947932861398</v>
          </cell>
          <cell r="S47">
            <v>0.435874796563469</v>
          </cell>
          <cell r="T47">
            <v>0.44202208959679301</v>
          </cell>
          <cell r="U47">
            <v>0.51315448073240699</v>
          </cell>
          <cell r="V47">
            <v>0.44345333667152598</v>
          </cell>
          <cell r="W47">
            <v>0.44824090157871499</v>
          </cell>
          <cell r="X47">
            <v>0.49065174022728703</v>
          </cell>
        </row>
        <row r="48">
          <cell r="C48" t="str">
            <v>田东电</v>
          </cell>
          <cell r="D48">
            <v>0.52327006993227598</v>
          </cell>
          <cell r="E48">
            <v>0.82262078589142995</v>
          </cell>
          <cell r="F48">
            <v>0.54279432527143301</v>
          </cell>
          <cell r="G48">
            <v>0.46761388405643101</v>
          </cell>
          <cell r="H48">
            <v>0.48801079050612001</v>
          </cell>
          <cell r="I48">
            <v>0.94726887778270197</v>
          </cell>
          <cell r="J48">
            <v>0.496731861144318</v>
          </cell>
          <cell r="K48">
            <v>0.48140533106422401</v>
          </cell>
          <cell r="L48">
            <v>0.47812592462012599</v>
          </cell>
          <cell r="M48">
            <v>0.461091875959869</v>
          </cell>
          <cell r="N48">
            <v>0.45113409558270001</v>
          </cell>
          <cell r="O48">
            <v>0.45446810376200703</v>
          </cell>
          <cell r="P48">
            <v>0.45882737164037501</v>
          </cell>
          <cell r="Q48">
            <v>0.481041252872975</v>
          </cell>
          <cell r="R48">
            <v>0.57275258852584099</v>
          </cell>
          <cell r="S48">
            <v>0.55217275733300897</v>
          </cell>
          <cell r="T48">
            <v>0.49986251035391299</v>
          </cell>
          <cell r="U48">
            <v>0.50370959914909197</v>
          </cell>
          <cell r="V48">
            <v>0.462805195790157</v>
          </cell>
          <cell r="W48">
            <v>0.463846202499824</v>
          </cell>
          <cell r="X48">
            <v>0.44788459475189601</v>
          </cell>
        </row>
        <row r="49">
          <cell r="C49" t="str">
            <v>德保电</v>
          </cell>
          <cell r="D49">
            <v>5.5972751516419803E-19</v>
          </cell>
          <cell r="E49">
            <v>0.55663279796292198</v>
          </cell>
          <cell r="F49">
            <v>0.43297914230594298</v>
          </cell>
          <cell r="G49">
            <v>0.40872557149264299</v>
          </cell>
          <cell r="H49">
            <v>0.74555243511834501</v>
          </cell>
          <cell r="I49">
            <v>0.47622239819874501</v>
          </cell>
          <cell r="J49">
            <v>0.47644217159677898</v>
          </cell>
          <cell r="K49">
            <v>0.42299995916775601</v>
          </cell>
          <cell r="L49">
            <v>0.42008880775359603</v>
          </cell>
          <cell r="M49">
            <v>0.43342893421287099</v>
          </cell>
          <cell r="N49">
            <v>0.430981154293821</v>
          </cell>
          <cell r="O49">
            <v>0.45459652483400598</v>
          </cell>
          <cell r="P49">
            <v>0.44721765608674302</v>
          </cell>
          <cell r="Q49">
            <v>0.81277228942072699</v>
          </cell>
          <cell r="R49">
            <v>0.39371456287151102</v>
          </cell>
          <cell r="S49">
            <v>0.38780344046669901</v>
          </cell>
          <cell r="T49">
            <v>0.393480011143862</v>
          </cell>
          <cell r="U49">
            <v>0.38417026997569698</v>
          </cell>
          <cell r="V49">
            <v>0.39899692571718998</v>
          </cell>
          <cell r="W49">
            <v>0.43612322690809702</v>
          </cell>
          <cell r="X49">
            <v>0.45391469924463101</v>
          </cell>
        </row>
        <row r="50">
          <cell r="C50" t="str">
            <v>水电</v>
          </cell>
          <cell r="D50">
            <v>0.22785391699403501</v>
          </cell>
          <cell r="E50">
            <v>0.20095103975873199</v>
          </cell>
          <cell r="F50">
            <v>0.257769871410367</v>
          </cell>
          <cell r="G50">
            <v>0.114536628328216</v>
          </cell>
          <cell r="H50">
            <v>0.34738059085001799</v>
          </cell>
          <cell r="I50">
            <v>0.37236200387298801</v>
          </cell>
          <cell r="J50">
            <v>0.44384912958887301</v>
          </cell>
          <cell r="K50">
            <v>0.13837200800069499</v>
          </cell>
          <cell r="L50">
            <v>0.123206491834809</v>
          </cell>
          <cell r="M50">
            <v>0.27547875162611302</v>
          </cell>
          <cell r="N50">
            <v>0.29744655602647802</v>
          </cell>
          <cell r="O50">
            <v>0.23750964860315801</v>
          </cell>
          <cell r="P50">
            <v>7.0856744140902997E-2</v>
          </cell>
          <cell r="Q50">
            <v>7.2919552521376593E-2</v>
          </cell>
          <cell r="R50">
            <v>9.2052860602184899E-2</v>
          </cell>
          <cell r="S50">
            <v>6.9018951568192405E-2</v>
          </cell>
          <cell r="T50">
            <v>7.28638536140125E-2</v>
          </cell>
          <cell r="U50">
            <v>0.219727294709468</v>
          </cell>
          <cell r="V50">
            <v>0.26311693677023101</v>
          </cell>
          <cell r="W50">
            <v>0.27754283824087</v>
          </cell>
          <cell r="X50">
            <v>0.39290556304878999</v>
          </cell>
        </row>
        <row r="51">
          <cell r="C51" t="str">
            <v>电力合计</v>
          </cell>
          <cell r="D51">
            <v>0.38016275102997199</v>
          </cell>
          <cell r="E51">
            <v>0.54597586489787997</v>
          </cell>
          <cell r="F51">
            <v>0.44307920743832202</v>
          </cell>
          <cell r="G51">
            <v>0.42797515572488298</v>
          </cell>
          <cell r="H51">
            <v>0.46016698905200398</v>
          </cell>
          <cell r="I51">
            <v>0.46916107008737701</v>
          </cell>
          <cell r="J51">
            <v>0.44435939589537099</v>
          </cell>
          <cell r="K51">
            <v>0.42269600219859499</v>
          </cell>
          <cell r="L51">
            <v>0.42743133454896998</v>
          </cell>
          <cell r="M51">
            <v>0.41381193319540199</v>
          </cell>
          <cell r="N51">
            <v>0.44994315303119897</v>
          </cell>
          <cell r="O51">
            <v>0.46887977596146901</v>
          </cell>
          <cell r="P51">
            <v>0.41327646147647101</v>
          </cell>
          <cell r="Q51">
            <v>0.45628939910063698</v>
          </cell>
          <cell r="R51">
            <v>0.43368943518644598</v>
          </cell>
          <cell r="S51">
            <v>0.43357697539648898</v>
          </cell>
          <cell r="T51">
            <v>0.41117827044074601</v>
          </cell>
          <cell r="U51">
            <v>0.40766403278662799</v>
          </cell>
          <cell r="V51">
            <v>0.41992732611037697</v>
          </cell>
          <cell r="W51">
            <v>0.41909064504360299</v>
          </cell>
          <cell r="X51">
            <v>0.42815936112774999</v>
          </cell>
        </row>
        <row r="52">
          <cell r="A52" t="str">
            <v>经营收入</v>
          </cell>
          <cell r="B52" t="str">
            <v>万元</v>
          </cell>
          <cell r="C52" t="str">
            <v>百矿电</v>
          </cell>
          <cell r="D52">
            <v>193994.082475</v>
          </cell>
          <cell r="E52">
            <v>157695.87035099999</v>
          </cell>
          <cell r="F52">
            <v>240362.32240800001</v>
          </cell>
          <cell r="G52">
            <v>176080.069257</v>
          </cell>
          <cell r="H52">
            <v>23165.212823059901</v>
          </cell>
          <cell r="I52">
            <v>17569.403675860602</v>
          </cell>
          <cell r="J52">
            <v>23443.479407209899</v>
          </cell>
          <cell r="K52">
            <v>240258.16516313</v>
          </cell>
          <cell r="L52">
            <v>226918.28596576999</v>
          </cell>
          <cell r="M52">
            <v>23899.221669621202</v>
          </cell>
          <cell r="N52">
            <v>11986.6637286404</v>
          </cell>
          <cell r="O52">
            <v>10813.5218531058</v>
          </cell>
          <cell r="P52">
            <v>21951.845907387898</v>
          </cell>
          <cell r="Q52">
            <v>23580.209102148201</v>
          </cell>
          <cell r="R52">
            <v>16866.103915786502</v>
          </cell>
          <cell r="S52">
            <v>11850.2092083804</v>
          </cell>
          <cell r="T52">
            <v>18206.069542794401</v>
          </cell>
          <cell r="U52">
            <v>24259.779971007902</v>
          </cell>
          <cell r="V52">
            <v>15622.261044934299</v>
          </cell>
          <cell r="W52">
            <v>24131.7267923492</v>
          </cell>
          <cell r="X52">
            <v>23750.673229613902</v>
          </cell>
        </row>
        <row r="53">
          <cell r="C53" t="str">
            <v>银海电</v>
          </cell>
          <cell r="D53">
            <v>77433.627368000001</v>
          </cell>
          <cell r="E53">
            <v>31453.123191999999</v>
          </cell>
          <cell r="F53">
            <v>86751.849144000007</v>
          </cell>
          <cell r="G53">
            <v>74187.789122000002</v>
          </cell>
          <cell r="H53">
            <v>10381.6767466116</v>
          </cell>
          <cell r="I53">
            <v>8417.9287369177891</v>
          </cell>
          <cell r="J53">
            <v>8725.5363814325192</v>
          </cell>
          <cell r="K53">
            <v>101712.930986962</v>
          </cell>
          <cell r="L53">
            <v>104254.456425686</v>
          </cell>
          <cell r="M53">
            <v>10101.358819606001</v>
          </cell>
          <cell r="N53">
            <v>6634.9764247286703</v>
          </cell>
          <cell r="O53">
            <v>9127.62790052118</v>
          </cell>
          <cell r="P53">
            <v>10072.968719930701</v>
          </cell>
          <cell r="Q53">
            <v>9713.4729248256499</v>
          </cell>
          <cell r="R53">
            <v>6590.0997717106102</v>
          </cell>
          <cell r="S53">
            <v>9722.7730603574691</v>
          </cell>
          <cell r="T53">
            <v>7628.8158212766102</v>
          </cell>
          <cell r="U53">
            <v>5116.5650370311196</v>
          </cell>
          <cell r="V53">
            <v>9736.9305057324109</v>
          </cell>
          <cell r="W53">
            <v>10061.207254434201</v>
          </cell>
          <cell r="X53">
            <v>9747.6601855315403</v>
          </cell>
        </row>
        <row r="54">
          <cell r="C54" t="str">
            <v>田东电</v>
          </cell>
          <cell r="D54">
            <v>47463.219996</v>
          </cell>
          <cell r="E54">
            <v>19297.992596</v>
          </cell>
          <cell r="F54">
            <v>67450.791115999993</v>
          </cell>
          <cell r="G54">
            <v>63138.162384000003</v>
          </cell>
          <cell r="H54">
            <v>7943.2830812243401</v>
          </cell>
          <cell r="I54">
            <v>1508.5333954365501</v>
          </cell>
          <cell r="J54">
            <v>7970.0325583292197</v>
          </cell>
          <cell r="K54">
            <v>80560.011418990107</v>
          </cell>
          <cell r="L54">
            <v>98383.409150613501</v>
          </cell>
          <cell r="M54">
            <v>9468.5153268008598</v>
          </cell>
          <cell r="N54">
            <v>9548.2256897141106</v>
          </cell>
          <cell r="O54">
            <v>8611.1296511405108</v>
          </cell>
          <cell r="P54">
            <v>9790.9707204223996</v>
          </cell>
          <cell r="Q54">
            <v>9209.8157299494396</v>
          </cell>
          <cell r="R54">
            <v>7452.1191977230901</v>
          </cell>
          <cell r="S54">
            <v>4820.8355597687496</v>
          </cell>
          <cell r="T54">
            <v>7256.0463674728098</v>
          </cell>
          <cell r="U54">
            <v>4913.86555734183</v>
          </cell>
          <cell r="V54">
            <v>9049.2165325972892</v>
          </cell>
          <cell r="W54">
            <v>9261.1014892841104</v>
          </cell>
          <cell r="X54">
            <v>9001.5673283982705</v>
          </cell>
        </row>
        <row r="55">
          <cell r="C55" t="str">
            <v>德保电</v>
          </cell>
          <cell r="D55">
            <v>0</v>
          </cell>
          <cell r="E55">
            <v>201289.83443799999</v>
          </cell>
          <cell r="F55">
            <v>258404.52504899999</v>
          </cell>
          <cell r="G55">
            <v>193815.859986</v>
          </cell>
          <cell r="H55">
            <v>4383.8191586129496</v>
          </cell>
          <cell r="I55">
            <v>13539.9664517976</v>
          </cell>
          <cell r="J55">
            <v>13045.253147469801</v>
          </cell>
          <cell r="K55">
            <v>224784.89874388001</v>
          </cell>
          <cell r="L55">
            <v>224078.77987201899</v>
          </cell>
          <cell r="M55">
            <v>13545.121442965799</v>
          </cell>
          <cell r="N55">
            <v>13631.172560552601</v>
          </cell>
          <cell r="O55">
            <v>12188.6420983356</v>
          </cell>
          <cell r="P55">
            <v>12572.8176118721</v>
          </cell>
          <cell r="Q55">
            <v>4629.36783744482</v>
          </cell>
          <cell r="R55">
            <v>27072.060047254399</v>
          </cell>
          <cell r="S55">
            <v>26199.0385476755</v>
          </cell>
          <cell r="T55">
            <v>26948.137804448001</v>
          </cell>
          <cell r="U55">
            <v>27109.715092965002</v>
          </cell>
          <cell r="V55">
            <v>25935.5477711649</v>
          </cell>
          <cell r="W55">
            <v>18766.947349486902</v>
          </cell>
          <cell r="X55">
            <v>15480.211707853699</v>
          </cell>
        </row>
        <row r="56">
          <cell r="C56" t="str">
            <v>水电</v>
          </cell>
          <cell r="D56">
            <v>2515.8466410000001</v>
          </cell>
          <cell r="E56">
            <v>2724.719364</v>
          </cell>
          <cell r="F56">
            <v>1723.970552</v>
          </cell>
          <cell r="G56">
            <v>3809.6934219999998</v>
          </cell>
          <cell r="H56">
            <v>131.91990291262101</v>
          </cell>
          <cell r="I56">
            <v>131.91990291262101</v>
          </cell>
          <cell r="J56">
            <v>111.339805825243</v>
          </cell>
          <cell r="K56">
            <v>4184.8730336504896</v>
          </cell>
          <cell r="L56">
            <v>3516.5019417475701</v>
          </cell>
          <cell r="M56">
            <v>114.21213592233001</v>
          </cell>
          <cell r="N56">
            <v>102.515533980583</v>
          </cell>
          <cell r="O56">
            <v>131.77184466019401</v>
          </cell>
          <cell r="P56">
            <v>542.33737864077705</v>
          </cell>
          <cell r="Q56">
            <v>527.67961165048496</v>
          </cell>
          <cell r="R56">
            <v>527.67961165048496</v>
          </cell>
          <cell r="S56">
            <v>541.89320388349495</v>
          </cell>
          <cell r="T56">
            <v>542.33737864077705</v>
          </cell>
          <cell r="U56">
            <v>146.28155339805801</v>
          </cell>
          <cell r="V56">
            <v>117.114077669903</v>
          </cell>
          <cell r="W56">
            <v>111.339805825243</v>
          </cell>
          <cell r="X56">
            <v>111.339805825243</v>
          </cell>
        </row>
        <row r="57">
          <cell r="C57" t="str">
            <v>电力合计</v>
          </cell>
          <cell r="D57">
            <v>321406.77648</v>
          </cell>
          <cell r="E57">
            <v>412461.539941</v>
          </cell>
          <cell r="F57">
            <v>654693.45826900005</v>
          </cell>
          <cell r="G57">
            <v>511031.57417099999</v>
          </cell>
          <cell r="H57">
            <v>46005.911712421403</v>
          </cell>
          <cell r="I57">
            <v>41167.752162925099</v>
          </cell>
          <cell r="J57">
            <v>53295.641300266703</v>
          </cell>
          <cell r="K57">
            <v>651500.87934661296</v>
          </cell>
          <cell r="L57">
            <v>657151.43335583701</v>
          </cell>
          <cell r="M57">
            <v>57128.429394916202</v>
          </cell>
          <cell r="N57">
            <v>41903.553937616402</v>
          </cell>
          <cell r="O57">
            <v>40872.693347763299</v>
          </cell>
          <cell r="P57">
            <v>54930.940338253902</v>
          </cell>
          <cell r="Q57">
            <v>47660.5452060186</v>
          </cell>
          <cell r="R57">
            <v>58508.062544125103</v>
          </cell>
          <cell r="S57">
            <v>53134.749580065603</v>
          </cell>
          <cell r="T57">
            <v>60581.4069146326</v>
          </cell>
          <cell r="U57">
            <v>61546.207211743902</v>
          </cell>
          <cell r="V57">
            <v>60461.069932098799</v>
          </cell>
          <cell r="W57">
            <v>62332.322691379602</v>
          </cell>
          <cell r="X57">
            <v>58091.452257222598</v>
          </cell>
        </row>
        <row r="58">
          <cell r="A58" t="str">
            <v>营业利润</v>
          </cell>
          <cell r="B58" t="str">
            <v>万元</v>
          </cell>
          <cell r="C58" t="str">
            <v>百矿电</v>
          </cell>
          <cell r="D58">
            <v>23198.187227657501</v>
          </cell>
          <cell r="E58">
            <v>10104.417231735801</v>
          </cell>
          <cell r="F58">
            <v>43151.011974264198</v>
          </cell>
          <cell r="G58">
            <v>39563.2179609999</v>
          </cell>
          <cell r="H58">
            <v>5369.4586155844299</v>
          </cell>
          <cell r="I58">
            <v>6000.1300616024901</v>
          </cell>
          <cell r="J58">
            <v>5177.4479103563699</v>
          </cell>
          <cell r="K58">
            <v>56110.254548543198</v>
          </cell>
          <cell r="L58">
            <v>47145.944910271697</v>
          </cell>
          <cell r="M58">
            <v>6532.4050613182599</v>
          </cell>
          <cell r="N58">
            <v>1288.4792972928699</v>
          </cell>
          <cell r="O58">
            <v>-619.21148661735401</v>
          </cell>
          <cell r="P58">
            <v>6043.12787216383</v>
          </cell>
          <cell r="Q58">
            <v>5742.7433268057002</v>
          </cell>
          <cell r="R58">
            <v>2959.95937158381</v>
          </cell>
          <cell r="S58">
            <v>35.564568711076703</v>
          </cell>
          <cell r="T58">
            <v>3888.8221610831201</v>
          </cell>
          <cell r="U58">
            <v>5843.5581325369503</v>
          </cell>
          <cell r="V58">
            <v>2896.5185959815799</v>
          </cell>
          <cell r="W58">
            <v>6175.5590483912301</v>
          </cell>
          <cell r="X58">
            <v>6358.4189610206104</v>
          </cell>
        </row>
        <row r="59">
          <cell r="C59" t="str">
            <v>银海电</v>
          </cell>
          <cell r="D59">
            <v>2154.6758986201698</v>
          </cell>
          <cell r="E59">
            <v>-6988.1763764716998</v>
          </cell>
          <cell r="F59">
            <v>9.2981223922511198</v>
          </cell>
          <cell r="G59">
            <v>12110.305920000001</v>
          </cell>
          <cell r="H59">
            <v>1233.9914428652601</v>
          </cell>
          <cell r="I59">
            <v>1052.40804596783</v>
          </cell>
          <cell r="J59">
            <v>1031.27960250457</v>
          </cell>
          <cell r="K59">
            <v>15427.9850113377</v>
          </cell>
          <cell r="L59">
            <v>13873.570933461</v>
          </cell>
          <cell r="M59">
            <v>1630.90652809885</v>
          </cell>
          <cell r="N59">
            <v>723.14545492530499</v>
          </cell>
          <cell r="O59">
            <v>1942.0308205285901</v>
          </cell>
          <cell r="P59">
            <v>1589.1312711005501</v>
          </cell>
          <cell r="Q59">
            <v>1404.8815973389201</v>
          </cell>
          <cell r="R59">
            <v>187.130642272492</v>
          </cell>
          <cell r="S59">
            <v>1618.3487140237801</v>
          </cell>
          <cell r="T59">
            <v>1174.6799913416801</v>
          </cell>
          <cell r="U59">
            <v>110.167954014901</v>
          </cell>
          <cell r="V59">
            <v>1472.3921952514499</v>
          </cell>
          <cell r="W59">
            <v>1427.72879561281</v>
          </cell>
          <cell r="X59">
            <v>593.02696895167696</v>
          </cell>
        </row>
        <row r="60">
          <cell r="C60" t="str">
            <v>田东电</v>
          </cell>
          <cell r="D60">
            <v>-2428.1022814932098</v>
          </cell>
          <cell r="E60">
            <v>-7411.9061257169797</v>
          </cell>
          <cell r="F60">
            <v>-1663.74171645605</v>
          </cell>
          <cell r="G60">
            <v>8147.7092460000104</v>
          </cell>
          <cell r="H60">
            <v>764.839557195525</v>
          </cell>
          <cell r="I60">
            <v>-1143.22309842347</v>
          </cell>
          <cell r="J60">
            <v>606.00576522305505</v>
          </cell>
          <cell r="K60">
            <v>8375.3314699951097</v>
          </cell>
          <cell r="L60">
            <v>12248.671184929501</v>
          </cell>
          <cell r="M60">
            <v>1429.8517865395399</v>
          </cell>
          <cell r="N60">
            <v>1666.1372648746501</v>
          </cell>
          <cell r="O60">
            <v>1461.43032453055</v>
          </cell>
          <cell r="P60">
            <v>1809.73693083221</v>
          </cell>
          <cell r="Q60">
            <v>1099.7044166462299</v>
          </cell>
          <cell r="R60">
            <v>-366.505619406785</v>
          </cell>
          <cell r="S60">
            <v>64.745031870000801</v>
          </cell>
          <cell r="T60">
            <v>721.23932107003895</v>
          </cell>
          <cell r="U60">
            <v>423.29113959389502</v>
          </cell>
          <cell r="V60">
            <v>1278.2713531101199</v>
          </cell>
          <cell r="W60">
            <v>1197.8207307427199</v>
          </cell>
          <cell r="X60">
            <v>1462.94850452631</v>
          </cell>
        </row>
        <row r="61">
          <cell r="C61" t="str">
            <v>德保电</v>
          </cell>
          <cell r="D61">
            <v>-3.1974423109204502E-14</v>
          </cell>
          <cell r="E61">
            <v>-11811.936845471701</v>
          </cell>
          <cell r="F61">
            <v>33448.148258547197</v>
          </cell>
          <cell r="G61">
            <v>38508.814961999997</v>
          </cell>
          <cell r="H61">
            <v>-1877.9168485089399</v>
          </cell>
          <cell r="I61">
            <v>1185.8163724988699</v>
          </cell>
          <cell r="J61">
            <v>1136.81123608448</v>
          </cell>
          <cell r="K61">
            <v>38953.525722074402</v>
          </cell>
          <cell r="L61">
            <v>41479.347964322798</v>
          </cell>
          <cell r="M61">
            <v>2170.7697203535099</v>
          </cell>
          <cell r="N61">
            <v>2304.7416516857702</v>
          </cell>
          <cell r="O61">
            <v>1430.41872415492</v>
          </cell>
          <cell r="P61">
            <v>1648.9444808077999</v>
          </cell>
          <cell r="Q61">
            <v>-2825.1825884743198</v>
          </cell>
          <cell r="R61">
            <v>6511.7573982744298</v>
          </cell>
          <cell r="S61">
            <v>6610.7567779798001</v>
          </cell>
          <cell r="T61">
            <v>6503.8741268293597</v>
          </cell>
          <cell r="U61">
            <v>7032.5805592248998</v>
          </cell>
          <cell r="V61">
            <v>5746.2554303121897</v>
          </cell>
          <cell r="W61">
            <v>2593.6476597726801</v>
          </cell>
          <cell r="X61">
            <v>1750.7840234017201</v>
          </cell>
        </row>
        <row r="62">
          <cell r="C62" t="str">
            <v>水电</v>
          </cell>
          <cell r="D62">
            <v>392.96109199999898</v>
          </cell>
          <cell r="E62">
            <v>753.00309200000004</v>
          </cell>
          <cell r="F62">
            <v>35.908844999999999</v>
          </cell>
          <cell r="G62">
            <v>2313.9058279999999</v>
          </cell>
          <cell r="H62">
            <v>-22.838150311062101</v>
          </cell>
          <cell r="I62">
            <v>-33.967369812795098</v>
          </cell>
          <cell r="J62">
            <v>-55.547466900173198</v>
          </cell>
          <cell r="K62">
            <v>2201.55284097597</v>
          </cell>
          <cell r="L62">
            <v>2053.37556861249</v>
          </cell>
          <cell r="M62">
            <v>7.9599814201381998</v>
          </cell>
          <cell r="N62">
            <v>-0.460463715783542</v>
          </cell>
          <cell r="O62">
            <v>26.080051031788599</v>
          </cell>
          <cell r="P62">
            <v>412.56325174671298</v>
          </cell>
          <cell r="Q62">
            <v>397.736969057392</v>
          </cell>
          <cell r="R62">
            <v>363.64141405739201</v>
          </cell>
          <cell r="S62">
            <v>415.58852251370303</v>
          </cell>
          <cell r="T62">
            <v>408.88723074671299</v>
          </cell>
          <cell r="U62">
            <v>37.736269811580598</v>
          </cell>
          <cell r="V62">
            <v>13.0513291772768</v>
          </cell>
          <cell r="W62">
            <v>6.9836986466757702</v>
          </cell>
          <cell r="X62">
            <v>-36.392685881101897</v>
          </cell>
        </row>
        <row r="63">
          <cell r="C63" t="str">
            <v>电力合计</v>
          </cell>
          <cell r="D63">
            <v>23317.721936784499</v>
          </cell>
          <cell r="E63">
            <v>-15354.5990239246</v>
          </cell>
          <cell r="F63">
            <v>74980.625483747499</v>
          </cell>
          <cell r="G63">
            <v>100643.95391700001</v>
          </cell>
          <cell r="H63">
            <v>5467.5346168252099</v>
          </cell>
          <cell r="I63">
            <v>7061.1640118329196</v>
          </cell>
          <cell r="J63">
            <v>7895.9970472682999</v>
          </cell>
          <cell r="K63">
            <v>121068.649592926</v>
          </cell>
          <cell r="L63">
            <v>116800.910561597</v>
          </cell>
          <cell r="M63">
            <v>11771.893077730299</v>
          </cell>
          <cell r="N63">
            <v>5982.0432050628096</v>
          </cell>
          <cell r="O63">
            <v>4240.7484336284897</v>
          </cell>
          <cell r="P63">
            <v>11503.503806651101</v>
          </cell>
          <cell r="Q63">
            <v>5819.8837213739198</v>
          </cell>
          <cell r="R63">
            <v>9655.9832067813404</v>
          </cell>
          <cell r="S63">
            <v>8745.0036150983597</v>
          </cell>
          <cell r="T63">
            <v>12697.5028310709</v>
          </cell>
          <cell r="U63">
            <v>13447.3340551822</v>
          </cell>
          <cell r="V63">
            <v>11406.4889038326</v>
          </cell>
          <cell r="W63">
            <v>11401.7399331661</v>
          </cell>
          <cell r="X63">
            <v>10128.785772019201</v>
          </cell>
        </row>
        <row r="64">
          <cell r="A64" t="str">
            <v>利润总额</v>
          </cell>
          <cell r="B64" t="str">
            <v>万元</v>
          </cell>
          <cell r="C64" t="str">
            <v>百矿电</v>
          </cell>
          <cell r="D64">
            <v>24192.510905657498</v>
          </cell>
          <cell r="E64">
            <v>10954.6568217358</v>
          </cell>
          <cell r="F64">
            <v>46205.9916482642</v>
          </cell>
          <cell r="G64">
            <v>39725.542424999898</v>
          </cell>
          <cell r="H64">
            <v>5369.4586155844299</v>
          </cell>
          <cell r="I64">
            <v>6000.1300616024901</v>
          </cell>
          <cell r="J64">
            <v>5177.4479103563699</v>
          </cell>
          <cell r="K64">
            <v>56272.579012543203</v>
          </cell>
          <cell r="L64">
            <v>47145.944910271697</v>
          </cell>
          <cell r="M64">
            <v>6532.4050613182599</v>
          </cell>
          <cell r="N64">
            <v>1288.4792972928699</v>
          </cell>
          <cell r="O64">
            <v>-619.21148661735401</v>
          </cell>
          <cell r="P64">
            <v>6043.12787216383</v>
          </cell>
          <cell r="Q64">
            <v>5742.7433268057002</v>
          </cell>
          <cell r="R64">
            <v>2959.95937158381</v>
          </cell>
          <cell r="S64">
            <v>35.564568711076703</v>
          </cell>
          <cell r="T64">
            <v>3888.8221610831201</v>
          </cell>
          <cell r="U64">
            <v>5843.5581325369503</v>
          </cell>
          <cell r="V64">
            <v>2896.5185959815799</v>
          </cell>
          <cell r="W64">
            <v>6175.5590483912301</v>
          </cell>
          <cell r="X64">
            <v>6358.4189610206104</v>
          </cell>
        </row>
        <row r="65">
          <cell r="C65" t="str">
            <v>银海电</v>
          </cell>
          <cell r="D65">
            <v>904.82395162017394</v>
          </cell>
          <cell r="E65">
            <v>-6090.4356794716996</v>
          </cell>
          <cell r="F65">
            <v>-1001.98032960775</v>
          </cell>
          <cell r="G65">
            <v>12203.934507</v>
          </cell>
          <cell r="H65">
            <v>383.99144286525501</v>
          </cell>
          <cell r="I65">
            <v>1052.40804596783</v>
          </cell>
          <cell r="J65">
            <v>1031.27960250457</v>
          </cell>
          <cell r="K65">
            <v>14671.613598337701</v>
          </cell>
          <cell r="L65">
            <v>12073.570933461</v>
          </cell>
          <cell r="M65">
            <v>1630.90652809885</v>
          </cell>
          <cell r="N65">
            <v>723.14545492530499</v>
          </cell>
          <cell r="O65">
            <v>1942.0308205285901</v>
          </cell>
          <cell r="P65">
            <v>1589.1312711005501</v>
          </cell>
          <cell r="Q65">
            <v>1404.8815973389201</v>
          </cell>
          <cell r="R65">
            <v>187.130642272492</v>
          </cell>
          <cell r="S65">
            <v>1618.3487140237801</v>
          </cell>
          <cell r="T65">
            <v>1174.6799913416801</v>
          </cell>
          <cell r="U65">
            <v>110.167954014901</v>
          </cell>
          <cell r="V65">
            <v>1472.3921952514499</v>
          </cell>
          <cell r="W65">
            <v>1427.72879561281</v>
          </cell>
          <cell r="X65">
            <v>-1206.9730310483201</v>
          </cell>
        </row>
        <row r="66">
          <cell r="C66" t="str">
            <v>田东电</v>
          </cell>
          <cell r="D66">
            <v>-2427.0038624932099</v>
          </cell>
          <cell r="E66">
            <v>-7260.7373007169799</v>
          </cell>
          <cell r="F66">
            <v>-1999.1367624560501</v>
          </cell>
          <cell r="G66">
            <v>8136.4193300000097</v>
          </cell>
          <cell r="H66">
            <v>764.93955719552503</v>
          </cell>
          <cell r="I66">
            <v>-1280.22309842347</v>
          </cell>
          <cell r="J66">
            <v>605.95576522305498</v>
          </cell>
          <cell r="K66">
            <v>8227.0915539951093</v>
          </cell>
          <cell r="L66">
            <v>10112.1211849295</v>
          </cell>
          <cell r="M66">
            <v>1429.8517865395399</v>
          </cell>
          <cell r="N66">
            <v>1666.23726487465</v>
          </cell>
          <cell r="O66">
            <v>1461.43032453055</v>
          </cell>
          <cell r="P66">
            <v>1809.8369308322101</v>
          </cell>
          <cell r="Q66">
            <v>1099.7044166462299</v>
          </cell>
          <cell r="R66">
            <v>-2366.4056194067898</v>
          </cell>
          <cell r="S66">
            <v>64.745031870000801</v>
          </cell>
          <cell r="T66">
            <v>721.33932107003898</v>
          </cell>
          <cell r="U66">
            <v>423.29113959389502</v>
          </cell>
          <cell r="V66">
            <v>1278.37135311012</v>
          </cell>
          <cell r="W66">
            <v>1060.8207307427199</v>
          </cell>
          <cell r="X66">
            <v>1462.89850452631</v>
          </cell>
        </row>
        <row r="67">
          <cell r="C67" t="str">
            <v>德保电</v>
          </cell>
          <cell r="D67">
            <v>-3.1974423109204502E-14</v>
          </cell>
          <cell r="E67">
            <v>-11879.071103471701</v>
          </cell>
          <cell r="F67">
            <v>33045.512841547199</v>
          </cell>
          <cell r="G67">
            <v>37734.500954000003</v>
          </cell>
          <cell r="H67">
            <v>-1877.9168485089399</v>
          </cell>
          <cell r="I67">
            <v>1095.8163724988699</v>
          </cell>
          <cell r="J67">
            <v>1136.81123608448</v>
          </cell>
          <cell r="K67">
            <v>38089.211714074401</v>
          </cell>
          <cell r="L67">
            <v>41379.347964322798</v>
          </cell>
          <cell r="M67">
            <v>2162.4364203535101</v>
          </cell>
          <cell r="N67">
            <v>2296.4079516857701</v>
          </cell>
          <cell r="O67">
            <v>1422.08542415492</v>
          </cell>
          <cell r="P67">
            <v>1640.6111808078001</v>
          </cell>
          <cell r="Q67">
            <v>-2833.51588847432</v>
          </cell>
          <cell r="R67">
            <v>6503.4240982744304</v>
          </cell>
          <cell r="S67">
            <v>6602.4234779797998</v>
          </cell>
          <cell r="T67">
            <v>6495.5408268293604</v>
          </cell>
          <cell r="U67">
            <v>7024.2472592248996</v>
          </cell>
          <cell r="V67">
            <v>5737.9221303121903</v>
          </cell>
          <cell r="W67">
            <v>2585.3143597726798</v>
          </cell>
          <cell r="X67">
            <v>1742.4507234017201</v>
          </cell>
        </row>
        <row r="68">
          <cell r="C68" t="str">
            <v>水电</v>
          </cell>
          <cell r="D68">
            <v>391.86593499999901</v>
          </cell>
          <cell r="E68">
            <v>731.42954399999996</v>
          </cell>
          <cell r="F68">
            <v>131.17325099999999</v>
          </cell>
          <cell r="G68">
            <v>2328.0091360000001</v>
          </cell>
          <cell r="H68">
            <v>-22.838150311062101</v>
          </cell>
          <cell r="I68">
            <v>-33.967369812795098</v>
          </cell>
          <cell r="J68">
            <v>-55.547466900173198</v>
          </cell>
          <cell r="K68">
            <v>2215.6561489759702</v>
          </cell>
          <cell r="L68">
            <v>2053.37556861249</v>
          </cell>
          <cell r="M68">
            <v>7.9599814201381998</v>
          </cell>
          <cell r="N68">
            <v>-0.460463715783542</v>
          </cell>
          <cell r="O68">
            <v>26.080051031788599</v>
          </cell>
          <cell r="P68">
            <v>412.56325174671298</v>
          </cell>
          <cell r="Q68">
            <v>397.736969057392</v>
          </cell>
          <cell r="R68">
            <v>363.64141405739201</v>
          </cell>
          <cell r="S68">
            <v>415.58852251370303</v>
          </cell>
          <cell r="T68">
            <v>408.88723074671299</v>
          </cell>
          <cell r="U68">
            <v>37.736269811580598</v>
          </cell>
          <cell r="V68">
            <v>13.0513291772768</v>
          </cell>
          <cell r="W68">
            <v>6.9836986466757702</v>
          </cell>
          <cell r="X68">
            <v>-36.392685881101897</v>
          </cell>
        </row>
        <row r="69">
          <cell r="C69" t="str">
            <v>电力合计</v>
          </cell>
          <cell r="D69">
            <v>23062.196929784499</v>
          </cell>
          <cell r="E69">
            <v>-13544.1577179246</v>
          </cell>
          <cell r="F69">
            <v>76381.560648747502</v>
          </cell>
          <cell r="G69">
            <v>100128.40635200001</v>
          </cell>
          <cell r="H69">
            <v>4617.6346168252103</v>
          </cell>
          <cell r="I69">
            <v>6834.1640118329196</v>
          </cell>
          <cell r="J69">
            <v>7895.9470472682997</v>
          </cell>
          <cell r="K69">
            <v>119476.152027926</v>
          </cell>
          <cell r="L69">
            <v>112764.360561597</v>
          </cell>
          <cell r="M69">
            <v>11763.559777730299</v>
          </cell>
          <cell r="N69">
            <v>5973.8095050628099</v>
          </cell>
          <cell r="O69">
            <v>4232.4151336284904</v>
          </cell>
          <cell r="P69">
            <v>11495.270506651101</v>
          </cell>
          <cell r="Q69">
            <v>5811.5504213739196</v>
          </cell>
          <cell r="R69">
            <v>7647.7499067813396</v>
          </cell>
          <cell r="S69">
            <v>8736.6703150983594</v>
          </cell>
          <cell r="T69">
            <v>12689.2695310709</v>
          </cell>
          <cell r="U69">
            <v>13439.0007551822</v>
          </cell>
          <cell r="V69">
            <v>11398.2556038326</v>
          </cell>
          <cell r="W69">
            <v>11256.4066331661</v>
          </cell>
          <cell r="X69">
            <v>8320.4024720192192</v>
          </cell>
        </row>
        <row r="70">
          <cell r="A70" t="str">
            <v>营业成本</v>
          </cell>
          <cell r="B70" t="str">
            <v>万元</v>
          </cell>
          <cell r="C70" t="str">
            <v>百矿电</v>
          </cell>
          <cell r="D70">
            <v>149658.773063342</v>
          </cell>
          <cell r="E70">
            <v>133779.71814826399</v>
          </cell>
          <cell r="F70">
            <v>184011.52616473599</v>
          </cell>
          <cell r="G70">
            <v>125304.066208</v>
          </cell>
          <cell r="H70">
            <v>16565.065560425399</v>
          </cell>
          <cell r="I70">
            <v>13188.555989672899</v>
          </cell>
          <cell r="J70">
            <v>16370.9636281231</v>
          </cell>
          <cell r="K70">
            <v>171428.651386221</v>
          </cell>
          <cell r="L70">
            <v>164786.161239899</v>
          </cell>
          <cell r="M70">
            <v>16035.2916800517</v>
          </cell>
          <cell r="N70">
            <v>9722.0897071959407</v>
          </cell>
          <cell r="O70">
            <v>10418.1219297927</v>
          </cell>
          <cell r="P70">
            <v>14700.8027220615</v>
          </cell>
          <cell r="Q70">
            <v>16421.0242944846</v>
          </cell>
          <cell r="R70">
            <v>12357.3053086655</v>
          </cell>
          <cell r="S70">
            <v>10806.7271808362</v>
          </cell>
          <cell r="T70">
            <v>13359.229043441699</v>
          </cell>
          <cell r="U70">
            <v>17001.383673845499</v>
          </cell>
          <cell r="V70">
            <v>11610.4238382858</v>
          </cell>
          <cell r="W70">
            <v>16142.2604253111</v>
          </cell>
          <cell r="X70">
            <v>16211.501435926901</v>
          </cell>
        </row>
        <row r="71">
          <cell r="C71" t="str">
            <v>银海电</v>
          </cell>
          <cell r="D71">
            <v>68296.177441379798</v>
          </cell>
          <cell r="E71">
            <v>34656.635028471697</v>
          </cell>
          <cell r="F71">
            <v>82714.166006607804</v>
          </cell>
          <cell r="G71">
            <v>60571.850307000001</v>
          </cell>
          <cell r="H71">
            <v>8901.9990352533096</v>
          </cell>
          <cell r="I71">
            <v>7139.8298768503701</v>
          </cell>
          <cell r="J71">
            <v>7395.0602908372803</v>
          </cell>
          <cell r="K71">
            <v>84008.739509941006</v>
          </cell>
          <cell r="L71">
            <v>87760.885787085499</v>
          </cell>
          <cell r="M71">
            <v>8308.48433868139</v>
          </cell>
          <cell r="N71">
            <v>5741.1857106263697</v>
          </cell>
          <cell r="O71">
            <v>6990.0470329151503</v>
          </cell>
          <cell r="P71">
            <v>8281.7953073635599</v>
          </cell>
          <cell r="Q71">
            <v>8104.3751084061996</v>
          </cell>
          <cell r="R71">
            <v>6126.6285145113197</v>
          </cell>
          <cell r="S71">
            <v>7920.6083294932896</v>
          </cell>
          <cell r="T71">
            <v>6263.7097489886601</v>
          </cell>
          <cell r="U71">
            <v>4827.7619607548504</v>
          </cell>
          <cell r="V71">
            <v>7950.6691499974304</v>
          </cell>
          <cell r="W71">
            <v>8392.4257923339101</v>
          </cell>
          <cell r="X71">
            <v>8853.1947930133792</v>
          </cell>
        </row>
        <row r="72">
          <cell r="C72" t="str">
            <v>田东电</v>
          </cell>
          <cell r="D72">
            <v>45876.079874493204</v>
          </cell>
          <cell r="E72">
            <v>24965.187081716998</v>
          </cell>
          <cell r="F72">
            <v>66093.854913456002</v>
          </cell>
          <cell r="G72">
            <v>53120.778596999997</v>
          </cell>
          <cell r="H72">
            <v>6895.6284031678797</v>
          </cell>
          <cell r="I72">
            <v>2366.9458988269598</v>
          </cell>
          <cell r="J72">
            <v>7002.7022027583198</v>
          </cell>
          <cell r="K72">
            <v>69386.055101753198</v>
          </cell>
          <cell r="L72">
            <v>82861.2104256491</v>
          </cell>
          <cell r="M72">
            <v>7741.94668400301</v>
          </cell>
          <cell r="N72">
            <v>7636.7829701021901</v>
          </cell>
          <cell r="O72">
            <v>6888.8184920726899</v>
          </cell>
          <cell r="P72">
            <v>7727.9567527529298</v>
          </cell>
          <cell r="Q72">
            <v>7860.2351699992696</v>
          </cell>
          <cell r="R72">
            <v>7491.4190397926104</v>
          </cell>
          <cell r="S72">
            <v>4501.8380942948197</v>
          </cell>
          <cell r="T72">
            <v>6275.9149118988398</v>
          </cell>
          <cell r="U72">
            <v>4210.128067744</v>
          </cell>
          <cell r="V72">
            <v>7510.9699138832402</v>
          </cell>
          <cell r="W72">
            <v>7809.3476505374501</v>
          </cell>
          <cell r="X72">
            <v>7205.8526785680197</v>
          </cell>
        </row>
        <row r="73">
          <cell r="C73" t="str">
            <v>德保电</v>
          </cell>
          <cell r="D73">
            <v>3.1974423109204502E-14</v>
          </cell>
          <cell r="E73">
            <v>195973.19436647199</v>
          </cell>
          <cell r="F73">
            <v>205032.29247345301</v>
          </cell>
          <cell r="G73">
            <v>140061.84983200001</v>
          </cell>
          <cell r="H73">
            <v>5061.48002706432</v>
          </cell>
          <cell r="I73">
            <v>10820.6555180172</v>
          </cell>
          <cell r="J73">
            <v>10504.3297985311</v>
          </cell>
          <cell r="K73">
            <v>166448.31517561301</v>
          </cell>
          <cell r="L73">
            <v>165204.49074731101</v>
          </cell>
          <cell r="M73">
            <v>9941.9211652180002</v>
          </cell>
          <cell r="N73">
            <v>10005.5987624884</v>
          </cell>
          <cell r="O73">
            <v>9438.4757351601093</v>
          </cell>
          <cell r="P73">
            <v>9600.8981944715597</v>
          </cell>
          <cell r="Q73">
            <v>5492.5153476079004</v>
          </cell>
          <cell r="R73">
            <v>19151.593643505399</v>
          </cell>
          <cell r="S73">
            <v>18395.138376568601</v>
          </cell>
          <cell r="T73">
            <v>19062.105718106501</v>
          </cell>
          <cell r="U73">
            <v>18859.726823520199</v>
          </cell>
          <cell r="V73">
            <v>18440.836696605798</v>
          </cell>
          <cell r="W73">
            <v>14578.025925015199</v>
          </cell>
          <cell r="X73">
            <v>12237.654359043099</v>
          </cell>
        </row>
        <row r="74">
          <cell r="C74" t="str">
            <v>水电</v>
          </cell>
          <cell r="D74">
            <v>1311.255099</v>
          </cell>
          <cell r="E74">
            <v>1277.6891800000001</v>
          </cell>
          <cell r="F74">
            <v>915.10096299999998</v>
          </cell>
          <cell r="G74">
            <v>537.744011</v>
          </cell>
          <cell r="H74">
            <v>53.426342055555601</v>
          </cell>
          <cell r="I74">
            <v>64.207256057288603</v>
          </cell>
          <cell r="J74">
            <v>64.207256057288603</v>
          </cell>
          <cell r="K74">
            <v>719.58486517013296</v>
          </cell>
          <cell r="L74">
            <v>837.61324130984303</v>
          </cell>
          <cell r="M74">
            <v>60.962425094424802</v>
          </cell>
          <cell r="N74">
            <v>60.962425094424802</v>
          </cell>
          <cell r="O74">
            <v>62.462425094424802</v>
          </cell>
          <cell r="P74">
            <v>65.699150758141599</v>
          </cell>
          <cell r="Q74">
            <v>66.349150758141604</v>
          </cell>
          <cell r="R74">
            <v>103.599150758142</v>
          </cell>
          <cell r="S74">
            <v>64.909133758141607</v>
          </cell>
          <cell r="T74">
            <v>71.509133758141601</v>
          </cell>
          <cell r="U74">
            <v>59.515770926283203</v>
          </cell>
          <cell r="V74">
            <v>60.101604259616501</v>
          </cell>
          <cell r="W74">
            <v>62.276574761091503</v>
          </cell>
          <cell r="X74">
            <v>99.266296288869199</v>
          </cell>
        </row>
        <row r="75">
          <cell r="C75" t="str">
            <v>电力合计</v>
          </cell>
          <cell r="D75">
            <v>265142.28547821502</v>
          </cell>
          <cell r="E75">
            <v>390652.423804925</v>
          </cell>
          <cell r="F75">
            <v>538766.94052125304</v>
          </cell>
          <cell r="G75">
            <v>379596.288955</v>
          </cell>
          <cell r="H75">
            <v>37477.599367966497</v>
          </cell>
          <cell r="I75">
            <v>33580.194539424701</v>
          </cell>
          <cell r="J75">
            <v>41337.263176307097</v>
          </cell>
          <cell r="K75">
            <v>491991.34603869898</v>
          </cell>
          <cell r="L75">
            <v>501450.36144125398</v>
          </cell>
          <cell r="M75">
            <v>42088.606293048499</v>
          </cell>
          <cell r="N75">
            <v>33166.619575507299</v>
          </cell>
          <cell r="O75">
            <v>33797.925615035099</v>
          </cell>
          <cell r="P75">
            <v>40377.152127407702</v>
          </cell>
          <cell r="Q75">
            <v>37944.499071256098</v>
          </cell>
          <cell r="R75">
            <v>45230.545657233</v>
          </cell>
          <cell r="S75">
            <v>41689.221114950997</v>
          </cell>
          <cell r="T75">
            <v>45032.468556193802</v>
          </cell>
          <cell r="U75">
            <v>44958.516296790804</v>
          </cell>
          <cell r="V75">
            <v>45573.001203031898</v>
          </cell>
          <cell r="W75">
            <v>46984.336367958698</v>
          </cell>
          <cell r="X75">
            <v>44607.469562840299</v>
          </cell>
        </row>
        <row r="76">
          <cell r="A76" t="str">
            <v>管理费用</v>
          </cell>
          <cell r="B76" t="str">
            <v>万元</v>
          </cell>
          <cell r="C76" t="str">
            <v>百矿电</v>
          </cell>
          <cell r="D76">
            <v>3626.6340049999999</v>
          </cell>
          <cell r="E76">
            <v>2177.7288389999999</v>
          </cell>
          <cell r="F76">
            <v>2736.1182960000001</v>
          </cell>
          <cell r="G76">
            <v>1555.1852530000001</v>
          </cell>
          <cell r="H76">
            <v>295.88199369046998</v>
          </cell>
          <cell r="I76">
            <v>295.88199369046998</v>
          </cell>
          <cell r="J76">
            <v>295.88199369046998</v>
          </cell>
          <cell r="K76">
            <v>2442.8312340714101</v>
          </cell>
          <cell r="L76">
            <v>2999.9200729691802</v>
          </cell>
          <cell r="M76">
            <v>266.08939496965399</v>
          </cell>
          <cell r="N76">
            <v>231.744728302987</v>
          </cell>
          <cell r="O76">
            <v>225.13439496965401</v>
          </cell>
          <cell r="P76">
            <v>254.40439496965399</v>
          </cell>
          <cell r="Q76">
            <v>242.192394969654</v>
          </cell>
          <cell r="R76">
            <v>252.86739496965399</v>
          </cell>
          <cell r="S76">
            <v>226.99239496965399</v>
          </cell>
          <cell r="T76">
            <v>228.64239496965399</v>
          </cell>
          <cell r="U76">
            <v>250.16099496965401</v>
          </cell>
          <cell r="V76">
            <v>286.036594969654</v>
          </cell>
          <cell r="W76">
            <v>279.12599496965402</v>
          </cell>
          <cell r="X76">
            <v>256.52899496965398</v>
          </cell>
        </row>
        <row r="77">
          <cell r="C77" t="str">
            <v>银海电</v>
          </cell>
          <cell r="D77">
            <v>1151.767437</v>
          </cell>
          <cell r="E77">
            <v>1101.015942</v>
          </cell>
          <cell r="F77">
            <v>772.01810999999998</v>
          </cell>
          <cell r="G77">
            <v>369.36392899999998</v>
          </cell>
          <cell r="H77">
            <v>94.816958099892304</v>
          </cell>
          <cell r="I77">
            <v>94.816958099892304</v>
          </cell>
          <cell r="J77">
            <v>94.816958099892304</v>
          </cell>
          <cell r="K77">
            <v>653.81480329967701</v>
          </cell>
          <cell r="L77">
            <v>926.67650433153597</v>
          </cell>
          <cell r="M77">
            <v>68.358556277627997</v>
          </cell>
          <cell r="N77">
            <v>78.728456277627998</v>
          </cell>
          <cell r="O77">
            <v>66.883456277627999</v>
          </cell>
          <cell r="P77">
            <v>71.783100277627895</v>
          </cell>
          <cell r="Q77">
            <v>77.725453277627906</v>
          </cell>
          <cell r="R77">
            <v>73.227003277627901</v>
          </cell>
          <cell r="S77">
            <v>67.478456277627998</v>
          </cell>
          <cell r="T77">
            <v>67.253556277627993</v>
          </cell>
          <cell r="U77">
            <v>77.548456277628006</v>
          </cell>
          <cell r="V77">
            <v>103.153456277628</v>
          </cell>
          <cell r="W77">
            <v>70.456100277627897</v>
          </cell>
          <cell r="X77">
            <v>104.080453277628</v>
          </cell>
        </row>
        <row r="78">
          <cell r="C78" t="str">
            <v>田东电</v>
          </cell>
          <cell r="D78">
            <v>1538.540362</v>
          </cell>
          <cell r="E78">
            <v>1490.5729679999999</v>
          </cell>
          <cell r="F78">
            <v>1757.219611</v>
          </cell>
          <cell r="G78">
            <v>1277.2832539999999</v>
          </cell>
          <cell r="H78">
            <v>175.59601446749801</v>
          </cell>
          <cell r="I78">
            <v>197.47788065797499</v>
          </cell>
          <cell r="J78">
            <v>197.47788065797499</v>
          </cell>
          <cell r="K78">
            <v>1847.83502978345</v>
          </cell>
          <cell r="L78">
            <v>1824.866802</v>
          </cell>
          <cell r="M78">
            <v>188.60436466666701</v>
          </cell>
          <cell r="N78">
            <v>144.724864666667</v>
          </cell>
          <cell r="O78">
            <v>155.57928266666701</v>
          </cell>
          <cell r="P78">
            <v>144.86636466666701</v>
          </cell>
          <cell r="Q78">
            <v>142.328364666667</v>
          </cell>
          <cell r="R78">
            <v>148.32862666666699</v>
          </cell>
          <cell r="S78">
            <v>143.983364666667</v>
          </cell>
          <cell r="T78">
            <v>145.561364666667</v>
          </cell>
          <cell r="U78">
            <v>169.61010466666701</v>
          </cell>
          <cell r="V78">
            <v>143.99336666666699</v>
          </cell>
          <cell r="W78">
            <v>141.818366666667</v>
          </cell>
          <cell r="X78">
            <v>155.46836666666701</v>
          </cell>
        </row>
        <row r="79">
          <cell r="C79" t="str">
            <v>德保电</v>
          </cell>
          <cell r="D79">
            <v>0</v>
          </cell>
          <cell r="E79">
            <v>1484.241074</v>
          </cell>
          <cell r="F79">
            <v>1893.974252</v>
          </cell>
          <cell r="G79">
            <v>1429.2650679999999</v>
          </cell>
          <cell r="H79">
            <v>227.85507670060699</v>
          </cell>
          <cell r="I79">
            <v>227.85507670060699</v>
          </cell>
          <cell r="J79">
            <v>241.85507670060699</v>
          </cell>
          <cell r="K79">
            <v>2126.8302981018201</v>
          </cell>
          <cell r="L79">
            <v>2766.8943649299999</v>
          </cell>
          <cell r="M79">
            <v>246.78692610249999</v>
          </cell>
          <cell r="N79">
            <v>213.2196122025</v>
          </cell>
          <cell r="O79">
            <v>227.95821220249999</v>
          </cell>
          <cell r="P79">
            <v>212.0406122025</v>
          </cell>
          <cell r="Q79">
            <v>202.68411220249999</v>
          </cell>
          <cell r="R79">
            <v>262.9626122025</v>
          </cell>
          <cell r="S79">
            <v>206.22661220250001</v>
          </cell>
          <cell r="T79">
            <v>206.63161220250001</v>
          </cell>
          <cell r="U79">
            <v>220.08461220250001</v>
          </cell>
          <cell r="V79">
            <v>239.45461220249999</v>
          </cell>
          <cell r="W79">
            <v>211.01561220249999</v>
          </cell>
          <cell r="X79">
            <v>317.82921680250001</v>
          </cell>
        </row>
        <row r="80">
          <cell r="C80" t="str">
            <v>水电</v>
          </cell>
          <cell r="D80">
            <v>543.60395000000005</v>
          </cell>
          <cell r="E80">
            <v>532.68565599999999</v>
          </cell>
          <cell r="F80">
            <v>467.52194900000001</v>
          </cell>
          <cell r="G80">
            <v>664.91914199999997</v>
          </cell>
          <cell r="H80">
            <v>83.309192740943104</v>
          </cell>
          <cell r="I80">
            <v>83.671018240943098</v>
          </cell>
          <cell r="J80">
            <v>83.671018240943198</v>
          </cell>
          <cell r="K80">
            <v>915.57037122282895</v>
          </cell>
          <cell r="L80">
            <v>292.49110300000001</v>
          </cell>
          <cell r="M80">
            <v>25.241101</v>
          </cell>
          <cell r="N80">
            <v>22.601101</v>
          </cell>
          <cell r="O80">
            <v>22.901101000000001</v>
          </cell>
          <cell r="P80">
            <v>25.071100999999999</v>
          </cell>
          <cell r="Q80">
            <v>25.201101000000001</v>
          </cell>
          <cell r="R80">
            <v>22.391100999999999</v>
          </cell>
          <cell r="S80">
            <v>22.59825</v>
          </cell>
          <cell r="T80">
            <v>22.898250000000001</v>
          </cell>
          <cell r="U80">
            <v>28.288250000000001</v>
          </cell>
          <cell r="V80">
            <v>23.783249999999999</v>
          </cell>
          <cell r="W80">
            <v>22.198250000000002</v>
          </cell>
          <cell r="X80">
            <v>29.318247</v>
          </cell>
        </row>
        <row r="81">
          <cell r="C81" t="str">
            <v>电力合计</v>
          </cell>
          <cell r="D81">
            <v>6860.5457539999998</v>
          </cell>
          <cell r="E81">
            <v>6786.244479</v>
          </cell>
          <cell r="F81">
            <v>7626.852218</v>
          </cell>
          <cell r="G81">
            <v>5296.016646</v>
          </cell>
          <cell r="H81">
            <v>877.45923569940999</v>
          </cell>
          <cell r="I81">
            <v>899.70292738988701</v>
          </cell>
          <cell r="J81">
            <v>913.70292738988803</v>
          </cell>
          <cell r="K81">
            <v>7986.8817364791903</v>
          </cell>
          <cell r="L81">
            <v>8810.8488472307199</v>
          </cell>
          <cell r="M81">
            <v>795.08034301644898</v>
          </cell>
          <cell r="N81">
            <v>691.018762449782</v>
          </cell>
          <cell r="O81">
            <v>698.456447116449</v>
          </cell>
          <cell r="P81">
            <v>708.16557311644897</v>
          </cell>
          <cell r="Q81">
            <v>690.13142611644901</v>
          </cell>
          <cell r="R81">
            <v>759.776738116449</v>
          </cell>
          <cell r="S81">
            <v>667.279078116449</v>
          </cell>
          <cell r="T81">
            <v>670.98717811644894</v>
          </cell>
          <cell r="U81">
            <v>745.69241811644895</v>
          </cell>
          <cell r="V81">
            <v>796.421280116449</v>
          </cell>
          <cell r="W81">
            <v>724.61432411644898</v>
          </cell>
          <cell r="X81">
            <v>863.225278716449</v>
          </cell>
        </row>
        <row r="82">
          <cell r="A82" t="str">
            <v>销售费用</v>
          </cell>
          <cell r="B82" t="str">
            <v>万元</v>
          </cell>
          <cell r="C82" t="str">
            <v>百矿电</v>
          </cell>
          <cell r="F82">
            <v>0</v>
          </cell>
          <cell r="G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C83" t="str">
            <v>银海电</v>
          </cell>
          <cell r="F83">
            <v>0</v>
          </cell>
          <cell r="G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C84" t="str">
            <v>田东电</v>
          </cell>
          <cell r="F84">
            <v>0</v>
          </cell>
          <cell r="G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C85" t="str">
            <v>德保电</v>
          </cell>
          <cell r="F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 t="str">
            <v>水电</v>
          </cell>
          <cell r="F86">
            <v>0</v>
          </cell>
          <cell r="G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C87" t="str">
            <v>电力合计</v>
          </cell>
          <cell r="F87">
            <v>0</v>
          </cell>
          <cell r="G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</row>
        <row r="88">
          <cell r="A88" t="str">
            <v>财务费用</v>
          </cell>
          <cell r="B88" t="str">
            <v>万元</v>
          </cell>
          <cell r="C88" t="str">
            <v>百矿电</v>
          </cell>
          <cell r="D88">
            <v>15370.046533000001</v>
          </cell>
          <cell r="E88">
            <v>10243.57943</v>
          </cell>
          <cell r="F88">
            <v>8495.9607589999996</v>
          </cell>
          <cell r="G88">
            <v>8232.036537</v>
          </cell>
          <cell r="H88">
            <v>712.77088636230303</v>
          </cell>
          <cell r="I88">
            <v>966.04688838852303</v>
          </cell>
          <cell r="J88">
            <v>1376.26068394408</v>
          </cell>
          <cell r="K88">
            <v>11287.114995694899</v>
          </cell>
          <cell r="L88">
            <v>9911.5291631613909</v>
          </cell>
          <cell r="M88">
            <v>865.20957278646699</v>
          </cell>
          <cell r="N88">
            <v>619.08370889757896</v>
          </cell>
          <cell r="O88">
            <v>678.587608897579</v>
          </cell>
          <cell r="P88">
            <v>762.48142698725906</v>
          </cell>
          <cell r="Q88">
            <v>977.70655954281403</v>
          </cell>
          <cell r="R88">
            <v>1110.81703759837</v>
          </cell>
          <cell r="S88">
            <v>665.61309198725803</v>
          </cell>
          <cell r="T88">
            <v>570.58712532059099</v>
          </cell>
          <cell r="U88">
            <v>989.90746698725798</v>
          </cell>
          <cell r="V88">
            <v>646.42476420948003</v>
          </cell>
          <cell r="W88">
            <v>1330.76302184837</v>
          </cell>
          <cell r="X88">
            <v>694.34777809836896</v>
          </cell>
        </row>
        <row r="89">
          <cell r="C89" t="str">
            <v>银海电</v>
          </cell>
          <cell r="D89">
            <v>5179.3731189999999</v>
          </cell>
          <cell r="E89">
            <v>2259.4066210000001</v>
          </cell>
          <cell r="F89">
            <v>2584.009775</v>
          </cell>
          <cell r="G89">
            <v>537.857482</v>
          </cell>
          <cell r="H89">
            <v>80.2638888888889</v>
          </cell>
          <cell r="I89">
            <v>60.983333333333299</v>
          </cell>
          <cell r="J89">
            <v>58.511111111111099</v>
          </cell>
          <cell r="K89">
            <v>737.61581533333299</v>
          </cell>
          <cell r="L89">
            <v>770.739891111112</v>
          </cell>
          <cell r="M89">
            <v>53.7532316666667</v>
          </cell>
          <cell r="N89">
            <v>53.7532316666667</v>
          </cell>
          <cell r="O89">
            <v>48.7532316666667</v>
          </cell>
          <cell r="P89">
            <v>53.7532316666667</v>
          </cell>
          <cell r="Q89">
            <v>52.086565</v>
          </cell>
          <cell r="R89">
            <v>67.086564999999993</v>
          </cell>
          <cell r="S89">
            <v>38.7532316666667</v>
          </cell>
          <cell r="T89">
            <v>53.7532316666667</v>
          </cell>
          <cell r="U89">
            <v>67.271606666666699</v>
          </cell>
          <cell r="V89">
            <v>134.22596777777801</v>
          </cell>
          <cell r="W89">
            <v>95.463231666666701</v>
          </cell>
          <cell r="X89">
            <v>52.086565</v>
          </cell>
        </row>
        <row r="90">
          <cell r="C90" t="str">
            <v>田东电</v>
          </cell>
          <cell r="D90">
            <v>1967.79133</v>
          </cell>
          <cell r="E90">
            <v>-15.131286000000101</v>
          </cell>
          <cell r="F90">
            <v>444.17287700000003</v>
          </cell>
          <cell r="G90">
            <v>170.65539799999999</v>
          </cell>
          <cell r="H90">
            <v>23.308</v>
          </cell>
          <cell r="I90">
            <v>22.558</v>
          </cell>
          <cell r="J90">
            <v>22.808</v>
          </cell>
          <cell r="K90">
            <v>239.329398</v>
          </cell>
          <cell r="L90">
            <v>249.13766666666601</v>
          </cell>
          <cell r="M90">
            <v>18.1413333333333</v>
          </cell>
          <cell r="N90">
            <v>18.1413333333333</v>
          </cell>
          <cell r="O90">
            <v>15.591333333333299</v>
          </cell>
          <cell r="P90">
            <v>18.1413333333333</v>
          </cell>
          <cell r="Q90">
            <v>17.558</v>
          </cell>
          <cell r="R90">
            <v>27.6413333333333</v>
          </cell>
          <cell r="S90">
            <v>21.808</v>
          </cell>
          <cell r="T90">
            <v>22.533000000000001</v>
          </cell>
          <cell r="U90">
            <v>21.033000000000001</v>
          </cell>
          <cell r="V90">
            <v>25.433</v>
          </cell>
          <cell r="W90">
            <v>21.808</v>
          </cell>
          <cell r="X90">
            <v>21.308</v>
          </cell>
        </row>
        <row r="91">
          <cell r="C91" t="str">
            <v>德保电</v>
          </cell>
          <cell r="D91">
            <v>0</v>
          </cell>
          <cell r="E91">
            <v>15324.215549</v>
          </cell>
          <cell r="F91">
            <v>17496.496738999998</v>
          </cell>
          <cell r="G91">
            <v>12784.545923</v>
          </cell>
          <cell r="H91">
            <v>915.16872103778496</v>
          </cell>
          <cell r="I91">
            <v>1204.20597892667</v>
          </cell>
          <cell r="J91">
            <v>992.41906081556294</v>
          </cell>
          <cell r="K91">
            <v>15896.339683779999</v>
          </cell>
          <cell r="L91">
            <v>13034.8380040173</v>
          </cell>
          <cell r="M91">
            <v>1072.86100143662</v>
          </cell>
          <cell r="N91">
            <v>994.08443476995706</v>
          </cell>
          <cell r="O91">
            <v>992.74141254773497</v>
          </cell>
          <cell r="P91">
            <v>1007.76782365885</v>
          </cell>
          <cell r="Q91">
            <v>1706.3769347699599</v>
          </cell>
          <cell r="R91">
            <v>974.99902932551299</v>
          </cell>
          <cell r="S91">
            <v>814.77901810329104</v>
          </cell>
          <cell r="T91">
            <v>997.53047365884697</v>
          </cell>
          <cell r="U91">
            <v>816.90955143662404</v>
          </cell>
          <cell r="V91">
            <v>1337.56013810329</v>
          </cell>
          <cell r="W91">
            <v>1255.63232088107</v>
          </cell>
          <cell r="X91">
            <v>1063.59586532551</v>
          </cell>
        </row>
        <row r="92">
          <cell r="C92" t="str">
            <v>水电</v>
          </cell>
          <cell r="D92">
            <v>198.08595099999999</v>
          </cell>
          <cell r="E92">
            <v>154.48626400000001</v>
          </cell>
          <cell r="F92">
            <v>137.44841</v>
          </cell>
          <cell r="G92">
            <v>92.975363999999999</v>
          </cell>
          <cell r="H92">
            <v>10.525</v>
          </cell>
          <cell r="I92">
            <v>10.525</v>
          </cell>
          <cell r="J92">
            <v>10.025</v>
          </cell>
          <cell r="K92">
            <v>124.050364</v>
          </cell>
          <cell r="L92">
            <v>137.988891</v>
          </cell>
          <cell r="M92">
            <v>11.730556</v>
          </cell>
          <cell r="N92">
            <v>11.613889</v>
          </cell>
          <cell r="O92">
            <v>11.230556</v>
          </cell>
          <cell r="P92">
            <v>11.691667000000001</v>
          </cell>
          <cell r="Q92">
            <v>11.730556</v>
          </cell>
          <cell r="R92">
            <v>11.386111</v>
          </cell>
          <cell r="S92">
            <v>11.497222000000001</v>
          </cell>
          <cell r="T92">
            <v>11.730556</v>
          </cell>
          <cell r="U92">
            <v>10.997222000000001</v>
          </cell>
          <cell r="V92">
            <v>11.730556</v>
          </cell>
          <cell r="W92">
            <v>11.691667000000001</v>
          </cell>
          <cell r="X92">
            <v>10.958333</v>
          </cell>
        </row>
        <row r="93">
          <cell r="C93" t="str">
            <v>电力合计</v>
          </cell>
          <cell r="D93">
            <v>22715.296933000001</v>
          </cell>
          <cell r="E93">
            <v>27966.556578</v>
          </cell>
          <cell r="F93">
            <v>29158.08856</v>
          </cell>
          <cell r="G93">
            <v>21818.070704000002</v>
          </cell>
          <cell r="H93">
            <v>1742.0364962889801</v>
          </cell>
          <cell r="I93">
            <v>2264.3192006485301</v>
          </cell>
          <cell r="J93">
            <v>2460.0238558707501</v>
          </cell>
          <cell r="K93">
            <v>28284.450256808199</v>
          </cell>
          <cell r="L93">
            <v>24104.233615956498</v>
          </cell>
          <cell r="M93">
            <v>2021.6956952230901</v>
          </cell>
          <cell r="N93">
            <v>1696.6765976675399</v>
          </cell>
          <cell r="O93">
            <v>1746.9041424453101</v>
          </cell>
          <cell r="P93">
            <v>1853.83548264611</v>
          </cell>
          <cell r="Q93">
            <v>2765.4586153127698</v>
          </cell>
          <cell r="R93">
            <v>2191.9300762572202</v>
          </cell>
          <cell r="S93">
            <v>1552.4505637572199</v>
          </cell>
          <cell r="T93">
            <v>1656.1343866461</v>
          </cell>
          <cell r="U93">
            <v>1906.1188470905499</v>
          </cell>
          <cell r="V93">
            <v>2155.3744260905501</v>
          </cell>
          <cell r="W93">
            <v>2715.3582413961099</v>
          </cell>
          <cell r="X93">
            <v>1842.2965414238799</v>
          </cell>
        </row>
        <row r="94">
          <cell r="A94" t="str">
            <v>税金及附加</v>
          </cell>
          <cell r="B94" t="str">
            <v>万元</v>
          </cell>
          <cell r="C94" t="str">
            <v>百矿电</v>
          </cell>
          <cell r="D94">
            <v>1396.4956460000001</v>
          </cell>
          <cell r="E94">
            <v>1271.9759200000001</v>
          </cell>
          <cell r="F94">
            <v>1882.1099529999999</v>
          </cell>
          <cell r="G94">
            <v>1458.556591</v>
          </cell>
          <cell r="H94">
            <v>222.03576699730399</v>
          </cell>
          <cell r="I94">
            <v>158.228742506244</v>
          </cell>
          <cell r="J94">
            <v>222.92519109584899</v>
          </cell>
          <cell r="K94">
            <v>2061.7462915994001</v>
          </cell>
          <cell r="L94">
            <v>2094.73057946877</v>
          </cell>
          <cell r="M94">
            <v>200.22596049512299</v>
          </cell>
          <cell r="N94">
            <v>125.26628695103101</v>
          </cell>
          <cell r="O94">
            <v>110.88940606320099</v>
          </cell>
          <cell r="P94">
            <v>191.02949120566501</v>
          </cell>
          <cell r="Q94">
            <v>196.54252634546501</v>
          </cell>
          <cell r="R94">
            <v>185.15480296914399</v>
          </cell>
          <cell r="S94">
            <v>115.311971876214</v>
          </cell>
          <cell r="T94">
            <v>158.78881797935901</v>
          </cell>
          <cell r="U94">
            <v>194.76970266854701</v>
          </cell>
          <cell r="V94">
            <v>182.857251487827</v>
          </cell>
          <cell r="W94">
            <v>204.01830182881301</v>
          </cell>
          <cell r="X94">
            <v>229.876059598377</v>
          </cell>
        </row>
        <row r="95">
          <cell r="C95" t="str">
            <v>银海电</v>
          </cell>
          <cell r="D95">
            <v>811.14219500000002</v>
          </cell>
          <cell r="E95">
            <v>382.54980499999999</v>
          </cell>
          <cell r="F95">
            <v>624.47640200000001</v>
          </cell>
          <cell r="G95">
            <v>632.257383</v>
          </cell>
          <cell r="H95">
            <v>70.605421504285601</v>
          </cell>
          <cell r="I95">
            <v>69.890522666365996</v>
          </cell>
          <cell r="J95">
            <v>145.86841887967799</v>
          </cell>
          <cell r="K95">
            <v>918.62174605032999</v>
          </cell>
          <cell r="L95">
            <v>942.58330969699398</v>
          </cell>
          <cell r="M95">
            <v>39.856164881467599</v>
          </cell>
          <cell r="N95">
            <v>38.163571232695503</v>
          </cell>
          <cell r="O95">
            <v>79.913359133146301</v>
          </cell>
          <cell r="P95">
            <v>76.505809522295294</v>
          </cell>
          <cell r="Q95">
            <v>74.404200802901002</v>
          </cell>
          <cell r="R95">
            <v>136.027046649168</v>
          </cell>
          <cell r="S95">
            <v>77.584328896107095</v>
          </cell>
          <cell r="T95">
            <v>69.419293001978005</v>
          </cell>
          <cell r="U95">
            <v>53.815059317073398</v>
          </cell>
          <cell r="V95">
            <v>76.489736428119798</v>
          </cell>
          <cell r="W95">
            <v>75.133334543186393</v>
          </cell>
          <cell r="X95">
            <v>145.27140528885599</v>
          </cell>
        </row>
        <row r="96">
          <cell r="C96" t="str">
            <v>田东电</v>
          </cell>
          <cell r="D96">
            <v>454.30293</v>
          </cell>
          <cell r="E96">
            <v>267.16995800000001</v>
          </cell>
          <cell r="F96">
            <v>590.83486100000005</v>
          </cell>
          <cell r="G96">
            <v>647.44692799999996</v>
          </cell>
          <cell r="H96">
            <v>83.911106393436199</v>
          </cell>
          <cell r="I96">
            <v>64.774714375081402</v>
          </cell>
          <cell r="J96">
            <v>141.03870968986399</v>
          </cell>
          <cell r="K96">
            <v>937.17145845838195</v>
          </cell>
          <cell r="L96">
            <v>1199.5230713682299</v>
          </cell>
          <cell r="M96">
            <v>89.971158258308705</v>
          </cell>
          <cell r="N96">
            <v>82.439256737265893</v>
          </cell>
          <cell r="O96">
            <v>89.710218537265902</v>
          </cell>
          <cell r="P96">
            <v>90.269338837265906</v>
          </cell>
          <cell r="Q96">
            <v>89.9897786372659</v>
          </cell>
          <cell r="R96">
            <v>151.23581733726601</v>
          </cell>
          <cell r="S96">
            <v>88.461068937265907</v>
          </cell>
          <cell r="T96">
            <v>90.797769837266003</v>
          </cell>
          <cell r="U96">
            <v>89.803245337265906</v>
          </cell>
          <cell r="V96">
            <v>90.548898937265903</v>
          </cell>
          <cell r="W96">
            <v>90.306741337266004</v>
          </cell>
          <cell r="X96">
            <v>155.989778637266</v>
          </cell>
        </row>
        <row r="97">
          <cell r="C97" t="str">
            <v>德保电</v>
          </cell>
          <cell r="D97">
            <v>0</v>
          </cell>
          <cell r="E97">
            <v>320.120294</v>
          </cell>
          <cell r="F97">
            <v>533.69644000000005</v>
          </cell>
          <cell r="G97">
            <v>1075.553547</v>
          </cell>
          <cell r="H97">
            <v>57.232182319176097</v>
          </cell>
          <cell r="I97">
            <v>101.433505654303</v>
          </cell>
          <cell r="J97">
            <v>169.837975338002</v>
          </cell>
          <cell r="K97">
            <v>1404.05721031148</v>
          </cell>
          <cell r="L97">
            <v>1593.2087914385199</v>
          </cell>
          <cell r="M97">
            <v>112.782629855162</v>
          </cell>
          <cell r="N97">
            <v>113.528099405953</v>
          </cell>
          <cell r="O97">
            <v>99.048014270376299</v>
          </cell>
          <cell r="P97">
            <v>103.166500731396</v>
          </cell>
          <cell r="Q97">
            <v>52.974031338782503</v>
          </cell>
          <cell r="R97">
            <v>170.747363946527</v>
          </cell>
          <cell r="S97">
            <v>172.137762821346</v>
          </cell>
          <cell r="T97">
            <v>177.99587365078401</v>
          </cell>
          <cell r="U97">
            <v>180.413546580786</v>
          </cell>
          <cell r="V97">
            <v>171.44089394114499</v>
          </cell>
          <cell r="W97">
            <v>128.62583161537401</v>
          </cell>
          <cell r="X97">
            <v>110.34824328089201</v>
          </cell>
        </row>
        <row r="98">
          <cell r="C98" t="str">
            <v>水电</v>
          </cell>
          <cell r="D98">
            <v>163.63431</v>
          </cell>
          <cell r="E98">
            <v>183.39425499999999</v>
          </cell>
          <cell r="F98">
            <v>126.219043</v>
          </cell>
          <cell r="G98">
            <v>204.65575999999999</v>
          </cell>
          <cell r="H98">
            <v>7.4975184271844704</v>
          </cell>
          <cell r="I98">
            <v>7.4839984271844697</v>
          </cell>
          <cell r="J98">
            <v>8.9839984271844706</v>
          </cell>
          <cell r="K98">
            <v>228.62127528155301</v>
          </cell>
          <cell r="L98">
            <v>195.03313782524299</v>
          </cell>
          <cell r="M98">
            <v>8.3180724077669908</v>
          </cell>
          <cell r="N98">
            <v>7.7985826019417503</v>
          </cell>
          <cell r="O98">
            <v>9.0977115339805792</v>
          </cell>
          <cell r="P98">
            <v>27.312208135922301</v>
          </cell>
          <cell r="Q98">
            <v>26.661834834951499</v>
          </cell>
          <cell r="R98">
            <v>26.661834834951499</v>
          </cell>
          <cell r="S98">
            <v>27.300075611650499</v>
          </cell>
          <cell r="T98">
            <v>27.312208135922301</v>
          </cell>
          <cell r="U98">
            <v>9.7440406601941696</v>
          </cell>
          <cell r="V98">
            <v>8.4473382330097095</v>
          </cell>
          <cell r="W98">
            <v>8.1896154174757303</v>
          </cell>
          <cell r="X98">
            <v>8.1896154174757303</v>
          </cell>
        </row>
        <row r="99">
          <cell r="C99" t="str">
            <v>电力合计</v>
          </cell>
          <cell r="D99">
            <v>2825.575081</v>
          </cell>
          <cell r="E99">
            <v>2425.2102319999999</v>
          </cell>
          <cell r="F99">
            <v>3757.336699</v>
          </cell>
          <cell r="G99">
            <v>4018.4702090000001</v>
          </cell>
          <cell r="H99">
            <v>441.281995641386</v>
          </cell>
          <cell r="I99">
            <v>401.81148362917901</v>
          </cell>
          <cell r="J99">
            <v>688.65429343057701</v>
          </cell>
          <cell r="K99">
            <v>5550.2179817011402</v>
          </cell>
          <cell r="L99">
            <v>6025.07888979776</v>
          </cell>
          <cell r="M99">
            <v>451.15398589782802</v>
          </cell>
          <cell r="N99">
            <v>367.19579692888698</v>
          </cell>
          <cell r="O99">
            <v>388.65870953797003</v>
          </cell>
          <cell r="P99">
            <v>488.28334843254498</v>
          </cell>
          <cell r="Q99">
            <v>440.57237195936602</v>
          </cell>
          <cell r="R99">
            <v>669.82686573705598</v>
          </cell>
          <cell r="S99">
            <v>480.79520814258399</v>
          </cell>
          <cell r="T99">
            <v>524.31396260530903</v>
          </cell>
          <cell r="U99">
            <v>528.54559456386698</v>
          </cell>
          <cell r="V99">
            <v>529.78411902736696</v>
          </cell>
          <cell r="W99">
            <v>506.27382474211498</v>
          </cell>
          <cell r="X99">
            <v>649.67510222286705</v>
          </cell>
        </row>
      </sheetData>
      <sheetData sheetId="15"/>
      <sheetData sheetId="16">
        <row r="80">
          <cell r="B80" t="str">
            <v>项目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7">
          <cell r="AA57">
            <v>162115014.35926899</v>
          </cell>
        </row>
        <row r="59">
          <cell r="AA59">
            <v>2044965</v>
          </cell>
        </row>
        <row r="60">
          <cell r="AA60">
            <v>391424.25</v>
          </cell>
        </row>
        <row r="61">
          <cell r="AA61">
            <v>159765</v>
          </cell>
        </row>
        <row r="62">
          <cell r="AA62">
            <v>126722.34042553201</v>
          </cell>
        </row>
        <row r="63">
          <cell r="AA63">
            <v>35175</v>
          </cell>
        </row>
        <row r="64">
          <cell r="AA64">
            <v>36789.74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136316667.91193199</v>
          </cell>
        </row>
        <row r="98">
          <cell r="AA98">
            <v>622399.36</v>
          </cell>
        </row>
        <row r="99">
          <cell r="AA99">
            <v>120676.17</v>
          </cell>
        </row>
        <row r="100">
          <cell r="AA100">
            <v>49240</v>
          </cell>
        </row>
        <row r="101">
          <cell r="AA101">
            <v>35141.489361702101</v>
          </cell>
        </row>
        <row r="102">
          <cell r="AA102">
            <v>10675</v>
          </cell>
        </row>
        <row r="103">
          <cell r="AA103">
            <v>10959.47</v>
          </cell>
        </row>
        <row r="104">
          <cell r="AA104">
            <v>0</v>
          </cell>
        </row>
        <row r="105">
          <cell r="AA105">
            <v>0</v>
          </cell>
        </row>
        <row r="115">
          <cell r="AA115">
            <v>4678071.6666666698</v>
          </cell>
        </row>
        <row r="145">
          <cell r="AA145">
            <v>10075755.3175139</v>
          </cell>
        </row>
        <row r="146">
          <cell r="AA146">
            <v>0</v>
          </cell>
        </row>
        <row r="147">
          <cell r="AA147">
            <v>25811.21</v>
          </cell>
        </row>
        <row r="148">
          <cell r="AA148">
            <v>561580.686666667</v>
          </cell>
        </row>
        <row r="149">
          <cell r="AA149">
            <v>2565289.9496965399</v>
          </cell>
        </row>
        <row r="150">
          <cell r="AA150">
            <v>1388153.76</v>
          </cell>
        </row>
        <row r="151">
          <cell r="AA151">
            <v>198172.94</v>
          </cell>
        </row>
        <row r="152">
          <cell r="AA152">
            <v>82370</v>
          </cell>
        </row>
        <row r="153">
          <cell r="AA153">
            <v>38336.170212766003</v>
          </cell>
        </row>
        <row r="154">
          <cell r="AA154">
            <v>12600</v>
          </cell>
        </row>
        <row r="155">
          <cell r="AA155">
            <v>55904.15</v>
          </cell>
        </row>
        <row r="156">
          <cell r="AA156">
            <v>0</v>
          </cell>
        </row>
        <row r="157">
          <cell r="AA157">
            <v>100041.66666666701</v>
          </cell>
        </row>
        <row r="197">
          <cell r="AA197">
            <v>0</v>
          </cell>
        </row>
        <row r="198">
          <cell r="AA198">
            <v>137922.15</v>
          </cell>
        </row>
        <row r="199">
          <cell r="AA199">
            <v>0</v>
          </cell>
        </row>
        <row r="248">
          <cell r="AA248">
            <v>2298760.5959837702</v>
          </cell>
        </row>
        <row r="261">
          <cell r="AA261">
            <v>6943477.7809836902</v>
          </cell>
        </row>
        <row r="295">
          <cell r="AA295">
            <v>644690.57522123901</v>
          </cell>
        </row>
        <row r="296">
          <cell r="AA296">
            <v>176172.5</v>
          </cell>
        </row>
        <row r="297">
          <cell r="AA297">
            <v>380530.97345132701</v>
          </cell>
        </row>
      </sheetData>
      <sheetData sheetId="31">
        <row r="57">
          <cell r="AA57">
            <v>122376543.590431</v>
          </cell>
        </row>
        <row r="59">
          <cell r="AA59">
            <v>1567210.28</v>
          </cell>
        </row>
        <row r="60">
          <cell r="AA60">
            <v>307597.5</v>
          </cell>
        </row>
        <row r="61">
          <cell r="AA61">
            <v>125550</v>
          </cell>
        </row>
        <row r="62">
          <cell r="AA62">
            <v>26950</v>
          </cell>
        </row>
        <row r="63">
          <cell r="AA63">
            <v>0</v>
          </cell>
        </row>
        <row r="64">
          <cell r="AA64">
            <v>27846.240000000002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98086115.695576996</v>
          </cell>
        </row>
        <row r="98">
          <cell r="AA98">
            <v>697917.6</v>
          </cell>
        </row>
        <row r="99">
          <cell r="AA99">
            <v>138169.17000000001</v>
          </cell>
        </row>
        <row r="100">
          <cell r="AA100">
            <v>56380</v>
          </cell>
        </row>
        <row r="101">
          <cell r="AA101">
            <v>0</v>
          </cell>
        </row>
        <row r="102">
          <cell r="AA102">
            <v>11900</v>
          </cell>
        </row>
        <row r="103">
          <cell r="AA103">
            <v>11909.25</v>
          </cell>
        </row>
        <row r="104">
          <cell r="AA104">
            <v>0</v>
          </cell>
        </row>
        <row r="105">
          <cell r="AA105">
            <v>0</v>
          </cell>
        </row>
        <row r="115">
          <cell r="AA115">
            <v>6745842</v>
          </cell>
        </row>
        <row r="145">
          <cell r="AA145">
            <v>9537404.7044149507</v>
          </cell>
        </row>
        <row r="146">
          <cell r="AA146">
            <v>0</v>
          </cell>
        </row>
        <row r="147">
          <cell r="AA147">
            <v>0</v>
          </cell>
        </row>
        <row r="148">
          <cell r="AA148">
            <v>626864.67888888903</v>
          </cell>
        </row>
        <row r="149">
          <cell r="AA149">
            <v>3178292.168025</v>
          </cell>
        </row>
        <row r="150">
          <cell r="AA150">
            <v>746780.86</v>
          </cell>
        </row>
        <row r="151">
          <cell r="AA151">
            <v>127092.26</v>
          </cell>
        </row>
        <row r="152">
          <cell r="AA152">
            <v>52620</v>
          </cell>
        </row>
        <row r="153">
          <cell r="AA153">
            <v>150400</v>
          </cell>
        </row>
        <row r="154">
          <cell r="AA154">
            <v>8225</v>
          </cell>
        </row>
        <row r="155">
          <cell r="AA155">
            <v>21210.86</v>
          </cell>
        </row>
        <row r="156">
          <cell r="AA156">
            <v>250000</v>
          </cell>
        </row>
        <row r="157">
          <cell r="AA157">
            <v>55125</v>
          </cell>
        </row>
        <row r="197">
          <cell r="AA197">
            <v>0</v>
          </cell>
        </row>
        <row r="198">
          <cell r="AA198">
            <v>301850.17569166701</v>
          </cell>
        </row>
        <row r="199">
          <cell r="AA199">
            <v>0</v>
          </cell>
        </row>
        <row r="248">
          <cell r="AA248">
            <v>1103482.43280892</v>
          </cell>
        </row>
        <row r="261">
          <cell r="AA261">
            <v>10635958.653255099</v>
          </cell>
        </row>
        <row r="295">
          <cell r="AA295">
            <v>315000</v>
          </cell>
        </row>
        <row r="296">
          <cell r="AA296">
            <v>2001527.43362832</v>
          </cell>
        </row>
        <row r="298">
          <cell r="AA298">
            <v>221238.93805309699</v>
          </cell>
        </row>
      </sheetData>
      <sheetData sheetId="32">
        <row r="57">
          <cell r="AA57">
            <v>88531947.930133805</v>
          </cell>
        </row>
        <row r="59">
          <cell r="AA59">
            <v>1174736.05</v>
          </cell>
        </row>
        <row r="60">
          <cell r="AA60">
            <v>224398</v>
          </cell>
        </row>
        <row r="61">
          <cell r="AA61">
            <v>91591</v>
          </cell>
        </row>
        <row r="62">
          <cell r="AA62">
            <v>49050</v>
          </cell>
        </row>
        <row r="63">
          <cell r="AA63">
            <v>19075</v>
          </cell>
        </row>
        <row r="64">
          <cell r="AA64">
            <v>20019.97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69739095.133191302</v>
          </cell>
        </row>
        <row r="98">
          <cell r="AA98">
            <v>630367.43999999994</v>
          </cell>
        </row>
        <row r="99">
          <cell r="AA99">
            <v>126346.5</v>
          </cell>
        </row>
        <row r="100">
          <cell r="AA100">
            <v>51570</v>
          </cell>
        </row>
        <row r="101">
          <cell r="AA101">
            <v>27900</v>
          </cell>
        </row>
        <row r="102">
          <cell r="AA102">
            <v>10850</v>
          </cell>
        </row>
        <row r="103">
          <cell r="AA103">
            <v>11075.47</v>
          </cell>
        </row>
        <row r="104">
          <cell r="AA104">
            <v>0</v>
          </cell>
        </row>
        <row r="105">
          <cell r="AA105">
            <v>0</v>
          </cell>
        </row>
        <row r="115">
          <cell r="AA115">
            <v>8156283.3333333302</v>
          </cell>
        </row>
        <row r="145">
          <cell r="AA145">
            <v>5103971.9922222197</v>
          </cell>
        </row>
        <row r="146">
          <cell r="AA146">
            <v>0</v>
          </cell>
        </row>
        <row r="147">
          <cell r="AA147">
            <v>0</v>
          </cell>
        </row>
        <row r="148">
          <cell r="AA148">
            <v>600113.20754716999</v>
          </cell>
        </row>
        <row r="149">
          <cell r="AA149">
            <v>1040804.53277628</v>
          </cell>
        </row>
        <row r="150">
          <cell r="AA150">
            <v>102122.76</v>
          </cell>
        </row>
        <row r="151">
          <cell r="AA151">
            <v>20972</v>
          </cell>
        </row>
        <row r="152">
          <cell r="AA152">
            <v>8560</v>
          </cell>
        </row>
        <row r="153">
          <cell r="AA153">
            <v>102000</v>
          </cell>
        </row>
        <row r="154">
          <cell r="AA154">
            <v>1225</v>
          </cell>
        </row>
        <row r="155">
          <cell r="AA155">
            <v>20019.97</v>
          </cell>
        </row>
        <row r="156">
          <cell r="AA156">
            <v>0</v>
          </cell>
        </row>
        <row r="157">
          <cell r="AA157">
            <v>0</v>
          </cell>
        </row>
        <row r="197">
          <cell r="AA197">
            <v>0</v>
          </cell>
        </row>
        <row r="198">
          <cell r="AA198">
            <v>42404.18</v>
          </cell>
        </row>
        <row r="199">
          <cell r="AA199">
            <v>0</v>
          </cell>
        </row>
        <row r="248">
          <cell r="AA248">
            <v>1452714.0528885601</v>
          </cell>
        </row>
        <row r="261">
          <cell r="AA261">
            <v>520865.65</v>
          </cell>
        </row>
        <row r="295">
          <cell r="AA295">
            <v>94485</v>
          </cell>
        </row>
        <row r="296">
          <cell r="AA296">
            <v>0</v>
          </cell>
        </row>
        <row r="297">
          <cell r="AA297">
            <v>0</v>
          </cell>
        </row>
      </sheetData>
      <sheetData sheetId="33">
        <row r="57">
          <cell r="AA57">
            <v>72058526.785680205</v>
          </cell>
        </row>
        <row r="59">
          <cell r="AA59">
            <v>1331302.1499999999</v>
          </cell>
        </row>
        <row r="60">
          <cell r="AA60">
            <v>261603.75</v>
          </cell>
        </row>
        <row r="61">
          <cell r="AA61">
            <v>106777</v>
          </cell>
        </row>
        <row r="62">
          <cell r="AA62">
            <v>23450</v>
          </cell>
        </row>
        <row r="63">
          <cell r="AA63">
            <v>60300</v>
          </cell>
        </row>
        <row r="64">
          <cell r="AA64">
            <v>25266.66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66001324.637581401</v>
          </cell>
        </row>
        <row r="98">
          <cell r="AA98">
            <v>666736.99</v>
          </cell>
        </row>
        <row r="99">
          <cell r="AA99">
            <v>132105.42000000001</v>
          </cell>
        </row>
        <row r="100">
          <cell r="AA100">
            <v>53905</v>
          </cell>
        </row>
        <row r="101">
          <cell r="AA101">
            <v>29250</v>
          </cell>
        </row>
        <row r="102">
          <cell r="AA102">
            <v>11375</v>
          </cell>
        </row>
        <row r="103">
          <cell r="AA103">
            <v>11559.81</v>
          </cell>
        </row>
        <row r="104">
          <cell r="AA104">
            <v>0</v>
          </cell>
        </row>
        <row r="105">
          <cell r="AA105">
            <v>0</v>
          </cell>
        </row>
        <row r="115">
          <cell r="AA115">
            <v>88333.33</v>
          </cell>
        </row>
        <row r="145">
          <cell r="AA145">
            <v>1785093.1950000001</v>
          </cell>
        </row>
        <row r="146">
          <cell r="AA146">
            <v>0</v>
          </cell>
        </row>
        <row r="147">
          <cell r="AA147">
            <v>0</v>
          </cell>
        </row>
        <row r="148">
          <cell r="AA148">
            <v>540101.88679245301</v>
          </cell>
        </row>
        <row r="149">
          <cell r="AA149">
            <v>1554683.66666667</v>
          </cell>
        </row>
        <row r="150">
          <cell r="AA150">
            <v>646066.21</v>
          </cell>
        </row>
        <row r="151">
          <cell r="AA151">
            <v>113332.42</v>
          </cell>
        </row>
        <row r="152">
          <cell r="AA152">
            <v>46650</v>
          </cell>
        </row>
        <row r="153">
          <cell r="AA153">
            <v>157500</v>
          </cell>
        </row>
        <row r="154">
          <cell r="AA154">
            <v>69316.666666666599</v>
          </cell>
        </row>
        <row r="155">
          <cell r="AA155">
            <v>42356.87</v>
          </cell>
        </row>
        <row r="156">
          <cell r="AA156">
            <v>29166.666666666701</v>
          </cell>
        </row>
        <row r="157">
          <cell r="AA157">
            <v>0</v>
          </cell>
        </row>
        <row r="197">
          <cell r="AA197">
            <v>0</v>
          </cell>
        </row>
        <row r="198">
          <cell r="AA198">
            <v>138242.59</v>
          </cell>
        </row>
        <row r="199">
          <cell r="AA199">
            <v>0</v>
          </cell>
        </row>
        <row r="248">
          <cell r="AA248">
            <v>1559897.78637266</v>
          </cell>
        </row>
        <row r="261">
          <cell r="AA261">
            <v>213080</v>
          </cell>
        </row>
        <row r="295">
          <cell r="AA295">
            <v>269102.28403244598</v>
          </cell>
        </row>
        <row r="296">
          <cell r="AA296">
            <v>583177.62979350903</v>
          </cell>
        </row>
        <row r="297">
          <cell r="AA297">
            <v>148672.56637168099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0C33-2037-4178-BE35-84BD613BB3B5}">
  <dimension ref="A1:BP398"/>
  <sheetViews>
    <sheetView showZeros="0" tabSelected="1" zoomScale="50" zoomScaleNormal="50" workbookViewId="0">
      <pane xSplit="4" ySplit="2" topLeftCell="E93" activePane="bottomRight" state="frozen"/>
      <selection pane="topRight"/>
      <selection pane="bottomLeft"/>
      <selection pane="bottomRight" activeCell="AR347" sqref="AR347"/>
    </sheetView>
  </sheetViews>
  <sheetFormatPr defaultColWidth="9.1328125" defaultRowHeight="15" x14ac:dyDescent="0.4"/>
  <cols>
    <col min="1" max="1" width="14.46484375" style="6" customWidth="1"/>
    <col min="2" max="2" width="14.3984375" style="6" customWidth="1"/>
    <col min="3" max="3" width="10.59765625" style="6" customWidth="1"/>
    <col min="4" max="4" width="21.265625" style="6" customWidth="1"/>
    <col min="5" max="5" width="14.796875" style="6" customWidth="1"/>
    <col min="6" max="6" width="15.3984375" style="6" customWidth="1"/>
    <col min="7" max="7" width="11.46484375" style="6" customWidth="1"/>
    <col min="8" max="8" width="21.265625" style="6" customWidth="1"/>
    <col min="9" max="9" width="18.3984375" style="6" customWidth="1"/>
    <col min="10" max="10" width="26.73046875" style="6" customWidth="1"/>
    <col min="11" max="11" width="18.73046875" style="6" customWidth="1"/>
    <col min="12" max="12" width="23.59765625" style="6" customWidth="1"/>
    <col min="13" max="13" width="18.59765625" style="6" customWidth="1"/>
    <col min="14" max="14" width="21.46484375" style="6" customWidth="1"/>
    <col min="15" max="15" width="22.1328125" style="6" customWidth="1"/>
    <col min="16" max="16" width="20.3984375" style="6" customWidth="1"/>
    <col min="17" max="17" width="16.1328125" style="6" customWidth="1"/>
    <col min="18" max="18" width="17.796875" style="6" customWidth="1"/>
    <col min="19" max="19" width="24.59765625" style="6" customWidth="1"/>
    <col min="20" max="21" width="19.1328125" style="6" customWidth="1"/>
    <col min="22" max="23" width="9.796875" style="6" customWidth="1"/>
    <col min="24" max="24" width="7.796875" style="6" customWidth="1"/>
    <col min="25" max="25" width="8.265625" style="6" customWidth="1"/>
    <col min="26" max="26" width="16" style="6" customWidth="1"/>
    <col min="27" max="28" width="13.796875" style="6" customWidth="1"/>
    <col min="29" max="29" width="13.3984375" style="6" customWidth="1"/>
    <col min="30" max="30" width="16.265625" style="6" customWidth="1"/>
    <col min="31" max="31" width="12.1328125" style="6" customWidth="1"/>
    <col min="32" max="35" width="12.796875" style="6" customWidth="1"/>
    <col min="36" max="37" width="9.1328125" style="6"/>
    <col min="38" max="38" width="13.265625" style="6" customWidth="1"/>
    <col min="39" max="39" width="29.73046875" style="6" customWidth="1"/>
    <col min="40" max="40" width="17.73046875" style="6" customWidth="1"/>
    <col min="41" max="41" width="29.73046875" style="6" customWidth="1"/>
    <col min="42" max="42" width="17.73046875" style="6" customWidth="1"/>
    <col min="43" max="44" width="18.3984375" style="6" customWidth="1"/>
    <col min="45" max="45" width="21.3984375" style="6" customWidth="1"/>
    <col min="46" max="47" width="24.46484375" style="6" customWidth="1"/>
    <col min="48" max="67" width="13.73046875" style="6" customWidth="1"/>
    <col min="68" max="16384" width="9.1328125" style="6"/>
  </cols>
  <sheetData>
    <row r="1" spans="1:38" ht="28.15" thickBot="1" x14ac:dyDescent="0.45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0</v>
      </c>
      <c r="S1" s="2" t="s">
        <v>1</v>
      </c>
      <c r="T1" s="2"/>
      <c r="U1" s="2"/>
      <c r="V1" s="2"/>
      <c r="W1" s="2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 t="s">
        <v>2</v>
      </c>
    </row>
    <row r="2" spans="1:38" ht="27.4" thickTop="1" thickBot="1" x14ac:dyDescent="0.45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332</v>
      </c>
      <c r="G2" s="8" t="s">
        <v>333</v>
      </c>
      <c r="H2" s="8" t="s">
        <v>334</v>
      </c>
      <c r="I2" s="8" t="s">
        <v>335</v>
      </c>
      <c r="J2" s="9" t="s">
        <v>12</v>
      </c>
      <c r="K2" s="10" t="s">
        <v>13</v>
      </c>
      <c r="L2" s="10" t="s">
        <v>14</v>
      </c>
      <c r="M2" s="10" t="s">
        <v>15</v>
      </c>
      <c r="N2" s="11" t="s">
        <v>16</v>
      </c>
      <c r="O2" s="11" t="s">
        <v>17</v>
      </c>
      <c r="P2" s="8" t="s">
        <v>18</v>
      </c>
      <c r="Q2" s="11" t="s">
        <v>19</v>
      </c>
      <c r="R2" s="12">
        <f>C109</f>
        <v>6708.556595208287</v>
      </c>
      <c r="S2" s="8" t="s">
        <v>20</v>
      </c>
      <c r="T2" s="8" t="s">
        <v>21</v>
      </c>
      <c r="U2" s="8" t="s">
        <v>22</v>
      </c>
      <c r="V2" s="8" t="s">
        <v>23</v>
      </c>
      <c r="W2" s="8" t="s">
        <v>24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13"/>
    </row>
    <row r="3" spans="1:38" ht="17.649999999999999" thickTop="1" thickBot="1" x14ac:dyDescent="0.45">
      <c r="A3" s="14" t="s">
        <v>25</v>
      </c>
      <c r="B3" s="15" t="str">
        <f>$B$112</f>
        <v>东怀</v>
      </c>
      <c r="C3" s="16">
        <f t="shared" ref="C3:C17" si="0">INDEX($B$111:$Q$131,MATCH($B3,$B$111:$B$131,0),MATCH(C$2,$B$111:$Q$111,0))</f>
        <v>2482.3500545256302</v>
      </c>
      <c r="D3" s="17">
        <f t="array" ref="D3">INDEX($B$111:$Q$131,MATCH($B3,$B$111:$B$131,0),COLUMN($D$2)-1)</f>
        <v>0.12049076467887793</v>
      </c>
      <c r="E3" s="18">
        <f>C3*D3</f>
        <v>299.10025627044752</v>
      </c>
      <c r="F3" s="19">
        <f t="shared" ref="F3:I16" si="1">INDEX($B$111:$Q$131,MATCH($B3,$B$111:$B$131,0),MATCH(F$2,$B$111:$Q$111,0))</f>
        <v>9.0500000000000007</v>
      </c>
      <c r="G3" s="19">
        <f t="shared" si="1"/>
        <v>53.753421052631602</v>
      </c>
      <c r="H3" s="19">
        <f t="shared" si="1"/>
        <v>1.5392982456140301</v>
      </c>
      <c r="I3" s="19">
        <f t="shared" si="1"/>
        <v>20.240833333333299</v>
      </c>
      <c r="J3" s="18">
        <f>IFERROR(K3/K18*100,)</f>
        <v>48.820059666861781</v>
      </c>
      <c r="K3" s="20">
        <v>16.550015999999999</v>
      </c>
      <c r="L3" s="18">
        <f t="array" ref="L3">LOOKUP(1,0/($B$111:$B$131=$B3),$L$111:$L$131)</f>
        <v>16.550015999999999</v>
      </c>
      <c r="M3" s="21">
        <v>0</v>
      </c>
      <c r="N3" s="18">
        <f>IF(P3&gt;0,INDEX($B$111:$Z$131,MATCH(B3,$B$111:$B$131,0),MATCH($Z$111,$B$111:$Z$111,0))*C3*K3,C3*D3*K3)</f>
        <v>4724.537308800006</v>
      </c>
      <c r="O3" s="18">
        <f>P3*K3</f>
        <v>225.57671808000001</v>
      </c>
      <c r="P3" s="22">
        <f t="array" ref="P3">INDEX($B$111:$AF$131,MATCH($B3,$B$111:$B$131,0),COLUMN($AA$111)-1)</f>
        <v>13.63</v>
      </c>
      <c r="Q3" s="18">
        <f>SUM(N3:O3)</f>
        <v>4950.1140268800063</v>
      </c>
      <c r="R3" s="23"/>
      <c r="S3" s="24" t="s">
        <v>26</v>
      </c>
      <c r="T3" s="25">
        <f>$K$18</f>
        <v>33.900032308305157</v>
      </c>
      <c r="U3" s="25">
        <f>W3</f>
        <v>33.900032308303118</v>
      </c>
      <c r="V3" s="25">
        <f>W3</f>
        <v>33.900032308303118</v>
      </c>
      <c r="W3" s="25">
        <f>$AP$164</f>
        <v>33.900032308303118</v>
      </c>
      <c r="X3" s="23"/>
      <c r="Y3" s="23"/>
      <c r="Z3" s="26" t="s">
        <v>3</v>
      </c>
      <c r="AA3" s="26" t="s">
        <v>4</v>
      </c>
      <c r="AB3" s="27" t="s">
        <v>6</v>
      </c>
      <c r="AC3" s="28" t="s">
        <v>5</v>
      </c>
      <c r="AD3" s="28" t="s">
        <v>27</v>
      </c>
      <c r="AE3" s="28" t="s">
        <v>28</v>
      </c>
      <c r="AF3" s="23"/>
      <c r="AG3" s="23"/>
      <c r="AH3" s="23"/>
      <c r="AI3" s="23"/>
      <c r="AJ3" s="4"/>
      <c r="AK3" s="4"/>
      <c r="AL3" s="13"/>
    </row>
    <row r="4" spans="1:38" ht="17.649999999999999" thickTop="1" thickBot="1" x14ac:dyDescent="0.45">
      <c r="A4" s="29" t="s">
        <v>29</v>
      </c>
      <c r="B4" s="30" t="str">
        <f>$B$113</f>
        <v>跃进</v>
      </c>
      <c r="C4" s="31">
        <f t="shared" si="0"/>
        <v>1800</v>
      </c>
      <c r="D4" s="32">
        <f t="array" ref="D4">INDEX($B$111:$Q$131,MATCH($B4,$B$111:$B$131,0),COLUMN($D$2)-1)</f>
        <v>0.11937777777777778</v>
      </c>
      <c r="E4" s="33">
        <f t="shared" ref="E4:E17" si="2">C4*D4</f>
        <v>214.88</v>
      </c>
      <c r="F4" s="34">
        <f t="shared" si="1"/>
        <v>9.9</v>
      </c>
      <c r="G4" s="34">
        <f t="shared" si="1"/>
        <v>59.606917129365399</v>
      </c>
      <c r="H4" s="34">
        <f t="shared" si="1"/>
        <v>0.41611229308287101</v>
      </c>
      <c r="I4" s="34">
        <f t="shared" si="1"/>
        <v>16.798780551087098</v>
      </c>
      <c r="J4" s="318">
        <f>IFERROR(K4/K18*100,)</f>
        <v>30.395561018318674</v>
      </c>
      <c r="K4" s="20">
        <v>10.304105005500638</v>
      </c>
      <c r="L4" s="33">
        <f t="array" ref="L4">LOOKUP(1,0/($B$111:$B$131=$B4),$L$111:$L$131)</f>
        <v>10.304105005500638</v>
      </c>
      <c r="M4" s="21">
        <v>0</v>
      </c>
      <c r="N4" s="33">
        <f t="shared" ref="N4:N17" si="3">IF(P4&gt;0,INDEX($B$111:$Z$131,MATCH(B4,$B$111:$B$131,0),MATCH($Z$111,$B$111:$Z$111,0))*C4*K4,C4*D4*K4)</f>
        <v>2040.2127910891263</v>
      </c>
      <c r="O4" s="33">
        <f t="shared" ref="O4:O17" si="4">P4*K4</f>
        <v>173.93329249285077</v>
      </c>
      <c r="P4" s="35">
        <f t="array" ref="P4">INDEX($B$111:$AF$131,MATCH($B4,$B$111:$B$131,0),COLUMN($AA$111)-1)</f>
        <v>16.88</v>
      </c>
      <c r="Q4" s="33">
        <f t="shared" ref="Q4:Q17" si="5">SUM(N4:O4)</f>
        <v>2214.1460835819771</v>
      </c>
      <c r="R4" s="23"/>
      <c r="S4" s="36" t="s">
        <v>26</v>
      </c>
      <c r="T4" s="25">
        <f>$K$42</f>
        <v>25.030455664228924</v>
      </c>
      <c r="U4" s="25">
        <f>W4</f>
        <v>25.030456489744566</v>
      </c>
      <c r="V4" s="25">
        <f>W4</f>
        <v>25.030456489744566</v>
      </c>
      <c r="W4" s="25">
        <f>$AP$230</f>
        <v>25.030456489744566</v>
      </c>
      <c r="X4" s="23"/>
      <c r="Y4" s="23"/>
      <c r="Z4" s="37"/>
      <c r="AA4" s="38" t="s">
        <v>30</v>
      </c>
      <c r="AB4" s="39">
        <f>IFERROR(SUMPRODUCT($C$112:$C$115,$D$112:$D$115,$R$112:$R$115)/SUMPRODUCT($C$112:$C$115,$R$112:$R$115),)</f>
        <v>0.12014458172563713</v>
      </c>
      <c r="AC4" s="40">
        <f>IFERROR(SUMPRODUCT($C$112:$C$115,$R$112:$R$115)/SUM($R$112:$R$115),)</f>
        <v>2220.5277960014732</v>
      </c>
      <c r="AD4" s="41">
        <f>SUM($R$112:$R$115)</f>
        <v>26.854121005500637</v>
      </c>
      <c r="AE4" s="40">
        <f t="shared" ref="AE4:AE18" si="6">AB4*AC4*AD4</f>
        <v>7164.2601104619835</v>
      </c>
      <c r="AF4" s="23"/>
      <c r="AG4" s="23"/>
      <c r="AH4" s="23"/>
      <c r="AI4" s="23"/>
      <c r="AJ4" s="4"/>
      <c r="AK4" s="4"/>
      <c r="AL4" s="13"/>
    </row>
    <row r="5" spans="1:38" ht="17.649999999999999" thickTop="1" thickBot="1" x14ac:dyDescent="0.45">
      <c r="A5" s="273">
        <f>AP145</f>
        <v>42169.720730397414</v>
      </c>
      <c r="B5" s="15" t="str">
        <f>$B$114</f>
        <v>州景</v>
      </c>
      <c r="C5" s="16">
        <f t="shared" si="0"/>
        <v>0</v>
      </c>
      <c r="D5" s="17">
        <f t="array" ref="D5">INDEX($B$111:$Q$131,MATCH($B5,$B$111:$B$131,0),COLUMN($D$2)-1)</f>
        <v>0</v>
      </c>
      <c r="E5" s="18">
        <f t="shared" si="2"/>
        <v>0</v>
      </c>
      <c r="F5" s="19">
        <f t="shared" si="1"/>
        <v>15.680999999999999</v>
      </c>
      <c r="G5" s="19">
        <f t="shared" si="1"/>
        <v>65.22</v>
      </c>
      <c r="H5" s="19">
        <f t="shared" si="1"/>
        <v>0.63</v>
      </c>
      <c r="I5" s="19">
        <f t="shared" si="1"/>
        <v>58.6</v>
      </c>
      <c r="J5" s="18">
        <f>IFERROR(K5/K18*100,)</f>
        <v>0</v>
      </c>
      <c r="K5" s="20">
        <v>0</v>
      </c>
      <c r="L5" s="18">
        <f t="array" ref="L5">LOOKUP(1,0/($B$111:$B$131=$B5),$L$111:$L$131)</f>
        <v>0</v>
      </c>
      <c r="M5" s="21">
        <v>0</v>
      </c>
      <c r="N5" s="18">
        <f t="shared" si="3"/>
        <v>0</v>
      </c>
      <c r="O5" s="18">
        <f t="shared" si="4"/>
        <v>0</v>
      </c>
      <c r="P5" s="22">
        <f t="array" ref="P5">INDEX($B$111:$AF$131,MATCH($B5,$B$111:$B$131,0),COLUMN($AA$111)-1)</f>
        <v>12.88</v>
      </c>
      <c r="Q5" s="18">
        <f t="shared" si="5"/>
        <v>0</v>
      </c>
      <c r="R5" s="23"/>
      <c r="S5" s="43" t="s">
        <v>26</v>
      </c>
      <c r="T5" s="25">
        <f>$K$66</f>
        <v>0</v>
      </c>
      <c r="U5" s="25">
        <f>W5</f>
        <v>0</v>
      </c>
      <c r="V5" s="25">
        <f>W5</f>
        <v>0</v>
      </c>
      <c r="W5" s="25">
        <f>$AP$296</f>
        <v>0</v>
      </c>
      <c r="X5" s="23"/>
      <c r="Y5" s="23"/>
      <c r="Z5" s="44" t="s">
        <v>25</v>
      </c>
      <c r="AA5" s="38" t="s">
        <v>31</v>
      </c>
      <c r="AB5" s="39">
        <f>IFERROR(SUMPRODUCT($C$116:$C$130,$D$116:$D$130,$R$116:$R$130)/SUMPRODUCT($C$116:$C$130,$R$116:$R$130),)</f>
        <v>0.16142173913043475</v>
      </c>
      <c r="AC5" s="40">
        <f>IFERROR(SUMPRODUCT($C$116:$C$130,$R$116:$R$130)/SUM($R$116:$R$130),)</f>
        <v>4600</v>
      </c>
      <c r="AD5" s="41">
        <f>SUM($R$116:$R$130)</f>
        <v>7.0459113028045195</v>
      </c>
      <c r="AE5" s="40">
        <f t="shared" si="6"/>
        <v>5231.8709787844673</v>
      </c>
      <c r="AF5" s="23"/>
      <c r="AG5" s="23"/>
      <c r="AH5" s="23"/>
      <c r="AI5" s="23"/>
      <c r="AJ5" s="4"/>
      <c r="AK5" s="4"/>
      <c r="AL5" s="13"/>
    </row>
    <row r="6" spans="1:38" ht="17.649999999999999" thickTop="1" thickBot="1" x14ac:dyDescent="0.45">
      <c r="A6" s="42" t="s">
        <v>32</v>
      </c>
      <c r="B6" s="30" t="str">
        <f>$B$115</f>
        <v>那荷</v>
      </c>
      <c r="C6" s="31">
        <f t="shared" si="0"/>
        <v>0</v>
      </c>
      <c r="D6" s="32">
        <f t="array" ref="D6">INDEX($B$111:$Q$131,MATCH($B6,$B$111:$B$131,0),COLUMN($D$2)-1)</f>
        <v>0</v>
      </c>
      <c r="E6" s="33">
        <f t="shared" si="2"/>
        <v>0</v>
      </c>
      <c r="F6" s="34">
        <f t="shared" si="1"/>
        <v>8.93</v>
      </c>
      <c r="G6" s="34">
        <f t="shared" si="1"/>
        <v>71.459999999999994</v>
      </c>
      <c r="H6" s="34">
        <f t="shared" si="1"/>
        <v>0.34</v>
      </c>
      <c r="I6" s="34">
        <f t="shared" si="1"/>
        <v>56.85</v>
      </c>
      <c r="J6" s="318">
        <f>IFERROR(K6/K18*100,)</f>
        <v>0</v>
      </c>
      <c r="K6" s="20">
        <v>0</v>
      </c>
      <c r="L6" s="33">
        <f t="array" ref="L6">LOOKUP(1,0/($B$111:$B$131=$B6),$L$111:$L$131)</f>
        <v>0</v>
      </c>
      <c r="M6" s="21">
        <v>0</v>
      </c>
      <c r="N6" s="33">
        <f t="shared" si="3"/>
        <v>0</v>
      </c>
      <c r="O6" s="33">
        <f t="shared" si="4"/>
        <v>0</v>
      </c>
      <c r="P6" s="35">
        <f t="array" ref="P6">INDEX($B$111:$AF$131,MATCH($B6,$B$111:$B$131,0),COLUMN($AA$111)-1)</f>
        <v>8.43</v>
      </c>
      <c r="Q6" s="33">
        <f t="shared" si="5"/>
        <v>0</v>
      </c>
      <c r="R6" s="23"/>
      <c r="S6" s="45" t="s">
        <v>26</v>
      </c>
      <c r="T6" s="25">
        <f>$K$90</f>
        <v>0</v>
      </c>
      <c r="U6" s="25">
        <f>W6</f>
        <v>0</v>
      </c>
      <c r="V6" s="25">
        <f>W6</f>
        <v>0</v>
      </c>
      <c r="W6" s="25">
        <f>$AP$362</f>
        <v>0</v>
      </c>
      <c r="X6" s="23"/>
      <c r="Y6" s="23"/>
      <c r="Z6" s="46"/>
      <c r="AA6" s="47" t="s">
        <v>33</v>
      </c>
      <c r="AB6" s="48">
        <f>IFERROR(SUMPRODUCT($C$112:$C$130,$D$112:$D$130,$R$112:$R$130)/SUMPRODUCT($C$112:$C$130,$R$112:$R$130),)</f>
        <v>0.13467978235025016</v>
      </c>
      <c r="AC6" s="49">
        <f>IFERROR(SUMPRODUCT($C$112:$C$130,$R$112:$R$130)/SUMPRODUCT($R$112:$R$130),)</f>
        <v>2715.0863245712239</v>
      </c>
      <c r="AD6" s="50">
        <f>SUM($R$112:$R$130)</f>
        <v>33.900032308305157</v>
      </c>
      <c r="AE6" s="49">
        <f t="shared" si="6"/>
        <v>12396.131089246448</v>
      </c>
      <c r="AF6" s="23"/>
      <c r="AG6" s="23"/>
      <c r="AH6" s="23"/>
      <c r="AI6" s="23"/>
      <c r="AJ6" s="4"/>
      <c r="AK6" s="4"/>
      <c r="AL6" s="13"/>
    </row>
    <row r="7" spans="1:38" ht="17.649999999999999" thickTop="1" thickBot="1" x14ac:dyDescent="0.45">
      <c r="A7" s="51">
        <v>6.09522991327115</v>
      </c>
      <c r="B7" s="15" t="str">
        <f>$B$116</f>
        <v>褐煤2（云）长协</v>
      </c>
      <c r="C7" s="16">
        <f t="shared" si="0"/>
        <v>2400</v>
      </c>
      <c r="D7" s="17">
        <f t="array" ref="D7">INDEX($B$111:$Q$131,MATCH($B7,$B$111:$B$131,0),COLUMN($D$2)-1)</f>
        <v>0.123</v>
      </c>
      <c r="E7" s="18">
        <f t="shared" si="2"/>
        <v>295.2</v>
      </c>
      <c r="F7" s="19">
        <f t="shared" si="1"/>
        <v>19.2</v>
      </c>
      <c r="G7" s="19">
        <f t="shared" si="1"/>
        <v>32.974564459930299</v>
      </c>
      <c r="H7" s="19">
        <f t="shared" si="1"/>
        <v>0.80500871080139402</v>
      </c>
      <c r="I7" s="19">
        <f t="shared" si="1"/>
        <v>28.483231707317099</v>
      </c>
      <c r="J7" s="18">
        <f>IFERROR(K7/K18*100,)</f>
        <v>0</v>
      </c>
      <c r="K7" s="20">
        <v>0</v>
      </c>
      <c r="L7" s="18">
        <v>0</v>
      </c>
      <c r="M7" s="21">
        <v>0</v>
      </c>
      <c r="N7" s="18">
        <f t="shared" si="3"/>
        <v>0</v>
      </c>
      <c r="O7" s="18">
        <f t="shared" si="4"/>
        <v>0</v>
      </c>
      <c r="P7" s="22">
        <f t="array" ref="P7">INDEX($B$111:$AF$131,MATCH($B7,$B$111:$B$131,0),COLUMN($AA$111)-1)</f>
        <v>0</v>
      </c>
      <c r="Q7" s="18">
        <f t="shared" si="5"/>
        <v>0</v>
      </c>
      <c r="R7" s="23"/>
      <c r="S7" s="52" t="s">
        <v>34</v>
      </c>
      <c r="T7" s="53">
        <f>$C$18</f>
        <v>2715.0863245712239</v>
      </c>
      <c r="U7" s="54">
        <v>4100</v>
      </c>
      <c r="V7" s="54">
        <v>2629</v>
      </c>
      <c r="W7" s="55"/>
      <c r="X7" s="23"/>
      <c r="Y7" s="23"/>
      <c r="Z7" s="37"/>
      <c r="AA7" s="38" t="s">
        <v>30</v>
      </c>
      <c r="AB7" s="39">
        <f>IFERROR(SUMPRODUCT($C$112:$C$115,$D$112:$D$115,$S$112:$S$115)/SUMPRODUCT($C$112:$C$115,$S$112:$S$115),)</f>
        <v>0</v>
      </c>
      <c r="AC7" s="40">
        <f>IFERROR(SUMPRODUCT($C$112:$C$115,$S$112:$S$115)/SUM($S$112:$S$115),)</f>
        <v>0</v>
      </c>
      <c r="AD7" s="41">
        <f>SUM($S$112:$S$115)</f>
        <v>0</v>
      </c>
      <c r="AE7" s="40">
        <f t="shared" si="6"/>
        <v>0</v>
      </c>
      <c r="AF7" s="23"/>
      <c r="AG7" s="23"/>
      <c r="AH7" s="23"/>
      <c r="AI7" s="23"/>
      <c r="AJ7" s="4"/>
      <c r="AK7" s="4"/>
      <c r="AL7" s="13"/>
    </row>
    <row r="8" spans="1:38" ht="17.649999999999999" thickTop="1" thickBot="1" x14ac:dyDescent="0.45">
      <c r="A8" s="42" t="s">
        <v>35</v>
      </c>
      <c r="B8" s="30" t="str">
        <f>$B$117</f>
        <v>褐煤3（云）长协</v>
      </c>
      <c r="C8" s="31">
        <f t="shared" si="0"/>
        <v>3200</v>
      </c>
      <c r="D8" s="32">
        <f t="array" ref="D8">INDEX($B$111:$Q$131,MATCH($B8,$B$111:$B$131,0),COLUMN($D$2)-1)</f>
        <v>0.13300000000000001</v>
      </c>
      <c r="E8" s="33">
        <f t="shared" si="2"/>
        <v>425.6</v>
      </c>
      <c r="F8" s="34">
        <f t="shared" si="1"/>
        <v>19.149999999999999</v>
      </c>
      <c r="G8" s="34">
        <f t="shared" si="1"/>
        <v>23.8738213399504</v>
      </c>
      <c r="H8" s="34">
        <f t="shared" si="1"/>
        <v>0.84706368899917295</v>
      </c>
      <c r="I8" s="34">
        <f t="shared" si="1"/>
        <v>30.5076674937965</v>
      </c>
      <c r="J8" s="318">
        <f>IFERROR(K8/K18*100,)</f>
        <v>0</v>
      </c>
      <c r="K8" s="20">
        <v>0</v>
      </c>
      <c r="L8" s="33">
        <v>0</v>
      </c>
      <c r="M8" s="21">
        <v>0</v>
      </c>
      <c r="N8" s="33">
        <f t="shared" si="3"/>
        <v>0</v>
      </c>
      <c r="O8" s="33">
        <f t="shared" si="4"/>
        <v>0</v>
      </c>
      <c r="P8" s="35">
        <f t="array" ref="P8">INDEX($B$111:$AF$131,MATCH($B8,$B$111:$B$131,0),COLUMN($AA$111)-1)</f>
        <v>0</v>
      </c>
      <c r="Q8" s="33">
        <f t="shared" si="5"/>
        <v>0</v>
      </c>
      <c r="R8" s="23"/>
      <c r="S8" s="56" t="s">
        <v>34</v>
      </c>
      <c r="T8" s="53">
        <f>$C$42</f>
        <v>3193.713175972885</v>
      </c>
      <c r="U8" s="54">
        <v>3943.47</v>
      </c>
      <c r="V8" s="54">
        <v>2600</v>
      </c>
      <c r="W8" s="55"/>
      <c r="X8" s="23"/>
      <c r="Y8" s="23"/>
      <c r="Z8" s="44" t="s">
        <v>36</v>
      </c>
      <c r="AA8" s="38" t="s">
        <v>31</v>
      </c>
      <c r="AB8" s="39">
        <f>IFERROR(SUMPRODUCT($C$116:$C$130,$E$116:$E$130,$S$116:$S$130)/SUMPRODUCT($C$116:$C$130,$S$116:$S$130),)</f>
        <v>0.13893587042393934</v>
      </c>
      <c r="AC8" s="40">
        <f>IFERROR(SUMPRODUCT($C$116:$C$130,$S$116:$S$130)/SUM($S$116:$S$130),)</f>
        <v>3193.713175972885</v>
      </c>
      <c r="AD8" s="41">
        <f>SUM($S$116:$S$130)</f>
        <v>25.030455664228924</v>
      </c>
      <c r="AE8" s="40">
        <f t="shared" si="6"/>
        <v>11106.546827237689</v>
      </c>
      <c r="AF8" s="23"/>
      <c r="AG8" s="23"/>
      <c r="AH8" s="23"/>
      <c r="AI8" s="23"/>
      <c r="AJ8" s="4"/>
      <c r="AK8" s="4"/>
      <c r="AL8" s="13"/>
    </row>
    <row r="9" spans="1:38" ht="17.649999999999999" thickTop="1" thickBot="1" x14ac:dyDescent="0.45">
      <c r="A9" s="51">
        <f>AP138</f>
        <v>311.80637443372865</v>
      </c>
      <c r="B9" s="15" t="str">
        <f>$B$118</f>
        <v>褐煤3（云）</v>
      </c>
      <c r="C9" s="16">
        <f t="shared" si="0"/>
        <v>3200</v>
      </c>
      <c r="D9" s="17">
        <f t="array" ref="D9">INDEX($B$111:$Q$131,MATCH($B9,$B$111:$B$131,0),COLUMN($D$2)-1)</f>
        <v>0.1333</v>
      </c>
      <c r="E9" s="18">
        <f t="shared" si="2"/>
        <v>426.56</v>
      </c>
      <c r="F9" s="19">
        <f t="shared" si="1"/>
        <v>19.149999999999999</v>
      </c>
      <c r="G9" s="19">
        <f t="shared" si="1"/>
        <v>23.8738213399504</v>
      </c>
      <c r="H9" s="19">
        <f t="shared" si="1"/>
        <v>0.84706368899917295</v>
      </c>
      <c r="I9" s="19">
        <f t="shared" si="1"/>
        <v>30.5076674937965</v>
      </c>
      <c r="J9" s="18">
        <f>IFERROR(K9/K18*100,)</f>
        <v>0</v>
      </c>
      <c r="K9" s="20">
        <v>0</v>
      </c>
      <c r="L9" s="18">
        <v>0</v>
      </c>
      <c r="M9" s="21">
        <v>0</v>
      </c>
      <c r="N9" s="18">
        <f t="shared" si="3"/>
        <v>0</v>
      </c>
      <c r="O9" s="18">
        <f t="shared" si="4"/>
        <v>0</v>
      </c>
      <c r="P9" s="22">
        <f t="array" ref="P9">INDEX($B$111:$AF$131,MATCH($B9,$B$111:$B$131,0),COLUMN($AA$111)-1)</f>
        <v>0</v>
      </c>
      <c r="Q9" s="18">
        <f t="shared" si="5"/>
        <v>0</v>
      </c>
      <c r="R9" s="23"/>
      <c r="S9" s="57" t="s">
        <v>34</v>
      </c>
      <c r="T9" s="53">
        <f>$C$66</f>
        <v>0</v>
      </c>
      <c r="U9" s="54">
        <v>3756.9351444423182</v>
      </c>
      <c r="V9" s="54">
        <v>0</v>
      </c>
      <c r="W9" s="55"/>
      <c r="X9" s="23"/>
      <c r="Y9" s="23"/>
      <c r="Z9" s="58"/>
      <c r="AA9" s="47" t="s">
        <v>33</v>
      </c>
      <c r="AB9" s="48">
        <f>IFERROR(SUMPRODUCT($C$112:$C$130,$E$112:$E$130,$S$112:$S$130)/SUMPRODUCT($C$112:$C$130,$S$112:$S$130),)</f>
        <v>0.13893587042393934</v>
      </c>
      <c r="AC9" s="49">
        <f>IFERROR(SUMPRODUCT($C$112:$C$130,$S$112:$S$130)/SUMPRODUCT($S$112:$S$130),)</f>
        <v>3193.713175972885</v>
      </c>
      <c r="AD9" s="50">
        <f>SUM($S$112:$S$130)</f>
        <v>25.030455664228924</v>
      </c>
      <c r="AE9" s="49">
        <f t="shared" si="6"/>
        <v>11106.546827237689</v>
      </c>
      <c r="AF9" s="23"/>
      <c r="AG9" s="23"/>
      <c r="AH9" s="23"/>
      <c r="AI9" s="23"/>
      <c r="AJ9" s="4"/>
      <c r="AK9" s="4"/>
      <c r="AL9" s="13"/>
    </row>
    <row r="10" spans="1:38" ht="17.649999999999999" thickTop="1" thickBot="1" x14ac:dyDescent="0.45">
      <c r="A10" s="42" t="s">
        <v>37</v>
      </c>
      <c r="B10" s="30" t="str">
        <f>$B$119</f>
        <v>褐煤32（港1）</v>
      </c>
      <c r="C10" s="31">
        <f t="shared" si="0"/>
        <v>3200</v>
      </c>
      <c r="D10" s="32">
        <f t="array" ref="D10">INDEX($B$111:$Q$131,MATCH($B10,$B$111:$B$131,0),COLUMN($D$2)-1)</f>
        <v>0.16878750000000001</v>
      </c>
      <c r="E10" s="33">
        <f t="shared" si="2"/>
        <v>540.12</v>
      </c>
      <c r="F10" s="34">
        <f t="shared" si="1"/>
        <v>32.112708935028316</v>
      </c>
      <c r="G10" s="34">
        <f t="shared" si="1"/>
        <v>19.443642689832394</v>
      </c>
      <c r="H10" s="34">
        <f t="shared" si="1"/>
        <v>0.77574029122504196</v>
      </c>
      <c r="I10" s="34">
        <f t="shared" si="1"/>
        <v>24.82919018488618</v>
      </c>
      <c r="J10" s="318">
        <f>IFERROR(K10/K18*100,)</f>
        <v>0</v>
      </c>
      <c r="K10" s="20">
        <v>0</v>
      </c>
      <c r="L10" s="33">
        <v>0</v>
      </c>
      <c r="M10" s="21">
        <v>0</v>
      </c>
      <c r="N10" s="33">
        <f t="shared" si="3"/>
        <v>0</v>
      </c>
      <c r="O10" s="33">
        <f t="shared" si="4"/>
        <v>0</v>
      </c>
      <c r="P10" s="35">
        <f t="array" ref="P10">INDEX($B$111:$AF$131,MATCH($B10,$B$111:$B$131,0),COLUMN($AA$111)-1)</f>
        <v>95.32</v>
      </c>
      <c r="Q10" s="33">
        <f t="shared" si="5"/>
        <v>0</v>
      </c>
      <c r="R10" s="23"/>
      <c r="S10" s="59" t="s">
        <v>34</v>
      </c>
      <c r="T10" s="53">
        <f>$C$90</f>
        <v>0</v>
      </c>
      <c r="U10" s="54">
        <v>3756.9351444423182</v>
      </c>
      <c r="V10" s="54">
        <v>0</v>
      </c>
      <c r="W10" s="55"/>
      <c r="X10" s="23"/>
      <c r="Y10" s="23"/>
      <c r="Z10" s="37"/>
      <c r="AA10" s="38" t="s">
        <v>30</v>
      </c>
      <c r="AB10" s="39">
        <f>IFERROR(SUMPRODUCT($C$112:$C$115,$D$112:$D$115,$T$112:$T$115)/SUMPRODUCT($C$112:$C$115,$T$112:$T$115),)</f>
        <v>0</v>
      </c>
      <c r="AC10" s="40">
        <f>IFERROR(SUMPRODUCT($C$112:$C$115,$T$112:$T$115)/SUM($T$112:$T$115),)</f>
        <v>0</v>
      </c>
      <c r="AD10" s="41">
        <f>SUM($T$112:$T$115)</f>
        <v>0</v>
      </c>
      <c r="AE10" s="40">
        <f t="shared" si="6"/>
        <v>0</v>
      </c>
      <c r="AF10" s="23"/>
      <c r="AG10" s="23"/>
      <c r="AH10" s="23"/>
      <c r="AI10" s="23"/>
      <c r="AJ10" s="4"/>
      <c r="AK10" s="4"/>
      <c r="AL10" s="13"/>
    </row>
    <row r="11" spans="1:38" ht="17.649999999999999" thickTop="1" thickBot="1" x14ac:dyDescent="0.45">
      <c r="A11" s="51">
        <f>(SUMIF($B$3:$B$17,$B$112,$K$3:$K$17)+SUMIF($B$3:$B$17,$B$113,$K$3:$K$17)+SUMIF($B$3:$B$17,$B$114,$K$3:$K$17)+SUMIF($B$3:$B$17,$B$115,$K$3:$K$17))/$K$18*100</f>
        <v>79.215620685180454</v>
      </c>
      <c r="B11" s="15" t="str">
        <f>$B$120</f>
        <v>褐煤35（港2）</v>
      </c>
      <c r="C11" s="16">
        <f t="shared" si="0"/>
        <v>3500</v>
      </c>
      <c r="D11" s="17">
        <f t="array" ref="D11">INDEX($B$111:$Q$131,MATCH($B11,$B$111:$B$131,0),COLUMN($D$2)-1)</f>
        <v>0.17313428571428571</v>
      </c>
      <c r="E11" s="18">
        <f t="shared" si="2"/>
        <v>605.97</v>
      </c>
      <c r="F11" s="19">
        <f t="shared" si="1"/>
        <v>29.814058639384577</v>
      </c>
      <c r="G11" s="19">
        <f t="shared" si="1"/>
        <v>17.717185625549313</v>
      </c>
      <c r="H11" s="19">
        <f t="shared" si="1"/>
        <v>0.78167601374394924</v>
      </c>
      <c r="I11" s="19">
        <f t="shared" si="1"/>
        <v>26.875930557064283</v>
      </c>
      <c r="J11" s="18">
        <f>IFERROR(K11/K18*100,)</f>
        <v>0</v>
      </c>
      <c r="K11" s="20">
        <v>0</v>
      </c>
      <c r="L11" s="18">
        <v>0</v>
      </c>
      <c r="M11" s="21">
        <v>0</v>
      </c>
      <c r="N11" s="18">
        <f t="shared" si="3"/>
        <v>0</v>
      </c>
      <c r="O11" s="18">
        <f t="shared" si="4"/>
        <v>0</v>
      </c>
      <c r="P11" s="22">
        <f t="array" ref="P11">INDEX($B$111:$AF$131,MATCH($B11,$B$111:$B$131,0),COLUMN($AA$111)-1)</f>
        <v>95.32</v>
      </c>
      <c r="Q11" s="18">
        <f t="shared" si="5"/>
        <v>0</v>
      </c>
      <c r="R11" s="23"/>
      <c r="S11" s="305" t="s">
        <v>372</v>
      </c>
      <c r="T11" s="306">
        <f>IFERROR($T$3/SUM($AQ$146,$AR$146)*10000*$H$18/100,)</f>
        <v>2.5514303966056637</v>
      </c>
      <c r="U11" s="306">
        <v>4.03</v>
      </c>
      <c r="V11" s="60">
        <v>0</v>
      </c>
      <c r="W11" s="25"/>
      <c r="X11" s="23"/>
      <c r="Y11" s="23"/>
      <c r="Z11" s="44" t="s">
        <v>38</v>
      </c>
      <c r="AA11" s="38" t="s">
        <v>31</v>
      </c>
      <c r="AB11" s="39">
        <f>IFERROR(SUMPRODUCT($C$116:$C$130,$D$116:$D$130,$T$116:$T$130)/SUMPRODUCT($C$116:$C$130,$T$116:$T$130),)</f>
        <v>0</v>
      </c>
      <c r="AC11" s="40">
        <f>IFERROR(SUMPRODUCT($C$116:$C$130,$T$116:$T$130)/SUM($T$116:$T$130),)</f>
        <v>0</v>
      </c>
      <c r="AD11" s="41">
        <f>SUM($T$116:$T$130)</f>
        <v>0</v>
      </c>
      <c r="AE11" s="40">
        <f t="shared" si="6"/>
        <v>0</v>
      </c>
      <c r="AF11" s="23"/>
      <c r="AG11" s="23"/>
      <c r="AH11" s="23"/>
      <c r="AI11" s="23"/>
      <c r="AJ11" s="4"/>
      <c r="AK11" s="4"/>
      <c r="AL11" s="13"/>
    </row>
    <row r="12" spans="1:38" ht="17.649999999999999" thickTop="1" thickBot="1" x14ac:dyDescent="0.45">
      <c r="A12" s="51" t="s">
        <v>0</v>
      </c>
      <c r="B12" s="30" t="str">
        <f>$B$121</f>
        <v>褐煤38（港3）</v>
      </c>
      <c r="C12" s="31">
        <f t="shared" si="0"/>
        <v>3800</v>
      </c>
      <c r="D12" s="32">
        <f t="array" ref="D12">INDEX($B$111:$Q$131,MATCH($B12,$B$111:$B$131,0),COLUMN($D$2)-1)</f>
        <v>0.1693842105263158</v>
      </c>
      <c r="E12" s="33">
        <f t="shared" si="2"/>
        <v>643.66000000000008</v>
      </c>
      <c r="F12" s="34">
        <f t="shared" si="1"/>
        <v>34.679691189371134</v>
      </c>
      <c r="G12" s="34">
        <f t="shared" si="1"/>
        <v>8.6727633353557447</v>
      </c>
      <c r="H12" s="34">
        <f t="shared" si="1"/>
        <v>0.82970573383298385</v>
      </c>
      <c r="I12" s="34">
        <f t="shared" si="1"/>
        <v>28.63870628789606</v>
      </c>
      <c r="J12" s="318">
        <f>IFERROR(K12/K18*100,)</f>
        <v>0</v>
      </c>
      <c r="K12" s="20">
        <v>0</v>
      </c>
      <c r="L12" s="33">
        <v>0</v>
      </c>
      <c r="M12" s="21">
        <v>0</v>
      </c>
      <c r="N12" s="33">
        <f t="shared" si="3"/>
        <v>0</v>
      </c>
      <c r="O12" s="33">
        <f t="shared" si="4"/>
        <v>0</v>
      </c>
      <c r="P12" s="35">
        <f t="array" ref="P12">INDEX($B$111:$AF$131,MATCH($B12,$B$111:$B$131,0),COLUMN($AA$111)-1)</f>
        <v>95.32</v>
      </c>
      <c r="Q12" s="33">
        <f t="shared" si="5"/>
        <v>0</v>
      </c>
      <c r="R12" s="23"/>
      <c r="S12" s="307" t="s">
        <v>372</v>
      </c>
      <c r="T12" s="306">
        <f>IFERROR($T$4/SUM($AQ$212:$AR$212)*10000*$H$42/100,)</f>
        <v>1.7469984405894181</v>
      </c>
      <c r="U12" s="306">
        <v>5.0599999999999996</v>
      </c>
      <c r="V12" s="60">
        <v>0</v>
      </c>
      <c r="W12" s="25"/>
      <c r="X12" s="23"/>
      <c r="Y12" s="23"/>
      <c r="Z12" s="58"/>
      <c r="AA12" s="47" t="s">
        <v>33</v>
      </c>
      <c r="AB12" s="48">
        <f>IFERROR(SUMPRODUCT($C$112:$C$130,$D$112:$D$130,$T$112:$T$130)/SUMPRODUCT($C$112:$C$130,$T$112:$T$130),)</f>
        <v>0</v>
      </c>
      <c r="AC12" s="49">
        <f>IFERROR(SUMPRODUCT($C$112:$C$130,$T$112:$T$130)/SUMPRODUCT($T$112:$T$130),)</f>
        <v>0</v>
      </c>
      <c r="AD12" s="50">
        <f>SUM($T$112:$T$130)</f>
        <v>0</v>
      </c>
      <c r="AE12" s="49">
        <f t="shared" si="6"/>
        <v>0</v>
      </c>
      <c r="AF12" s="23"/>
      <c r="AG12" s="23"/>
      <c r="AH12" s="23"/>
      <c r="AI12" s="23"/>
      <c r="AJ12" s="4"/>
      <c r="AK12" s="4"/>
      <c r="AL12" s="13"/>
    </row>
    <row r="13" spans="1:38" ht="17.649999999999999" thickTop="1" thickBot="1" x14ac:dyDescent="0.45">
      <c r="A13" s="61">
        <f>C105</f>
        <v>5540.3191656712279</v>
      </c>
      <c r="B13" s="15" t="str">
        <f>$B$122</f>
        <v>褐煤46</v>
      </c>
      <c r="C13" s="16">
        <f t="shared" si="0"/>
        <v>4600</v>
      </c>
      <c r="D13" s="17">
        <f t="array" ref="D13">INDEX($B$111:$Q$131,MATCH($B13,$B$111:$B$131,0),COLUMN($D$2)-1)</f>
        <v>0.16142173913043478</v>
      </c>
      <c r="E13" s="18">
        <f t="shared" si="2"/>
        <v>742.54</v>
      </c>
      <c r="F13" s="19">
        <f t="shared" si="1"/>
        <v>23.091665258091258</v>
      </c>
      <c r="G13" s="19">
        <f t="shared" si="1"/>
        <v>10.878752304026914</v>
      </c>
      <c r="H13" s="19">
        <f t="shared" si="1"/>
        <v>0.20812534188160234</v>
      </c>
      <c r="I13" s="19">
        <f t="shared" si="1"/>
        <v>32.849464801712827</v>
      </c>
      <c r="J13" s="18">
        <f>IFERROR(K13/K18*100,)</f>
        <v>20.784379314819546</v>
      </c>
      <c r="K13" s="20">
        <v>7.0459113028045195</v>
      </c>
      <c r="L13" s="18">
        <f t="array" ref="L13">LOOKUP(1,0/($B$111:$B$131=$B13),$L$111:$L$131)</f>
        <v>100</v>
      </c>
      <c r="M13" s="21">
        <v>0</v>
      </c>
      <c r="N13" s="18">
        <f t="shared" si="3"/>
        <v>4560.2547134011402</v>
      </c>
      <c r="O13" s="18">
        <f t="shared" si="4"/>
        <v>671.61626538332678</v>
      </c>
      <c r="P13" s="22">
        <f t="array" ref="P13">INDEX($B$111:$AF$131,MATCH($B13,$B$111:$B$131,0),COLUMN($AA$111)-1)</f>
        <v>95.32</v>
      </c>
      <c r="Q13" s="18">
        <f t="shared" si="5"/>
        <v>5231.8709787844673</v>
      </c>
      <c r="R13" s="23"/>
      <c r="S13" s="308" t="s">
        <v>372</v>
      </c>
      <c r="T13" s="306">
        <f>IFERROR($T$5/SUM($AQ$278:$AR$278)*10000*$H$66/100,)</f>
        <v>0</v>
      </c>
      <c r="U13" s="306">
        <v>3</v>
      </c>
      <c r="V13" s="60">
        <v>0</v>
      </c>
      <c r="W13" s="25"/>
      <c r="X13" s="23"/>
      <c r="Y13" s="23"/>
      <c r="Z13" s="37"/>
      <c r="AA13" s="38" t="s">
        <v>30</v>
      </c>
      <c r="AB13" s="39">
        <f>IFERROR(SUMPRODUCT($C$112:$C$115,$F$112:$F$115,$U$112:$U$115)/SUMPRODUCT($C$112:$C$115,$U$112:$U$115),)</f>
        <v>0</v>
      </c>
      <c r="AC13" s="40">
        <f>IFERROR(SUMPRODUCT($C$112:$C$115,$U$112:$U$115)/SUM($U$112:$U$115),)</f>
        <v>0</v>
      </c>
      <c r="AD13" s="41">
        <f>SUM($U$112:$U$115)</f>
        <v>0</v>
      </c>
      <c r="AE13" s="40">
        <f t="shared" si="6"/>
        <v>0</v>
      </c>
      <c r="AF13" s="23"/>
      <c r="AG13" s="23"/>
      <c r="AH13" s="23"/>
      <c r="AI13" s="23"/>
      <c r="AJ13" s="4"/>
      <c r="AK13" s="4"/>
      <c r="AL13" s="13"/>
    </row>
    <row r="14" spans="1:38" ht="17.649999999999999" thickTop="1" thickBot="1" x14ac:dyDescent="0.45">
      <c r="A14" s="51" t="s">
        <v>39</v>
      </c>
      <c r="B14" s="30" t="str">
        <f>$B$123</f>
        <v>烟煤55</v>
      </c>
      <c r="C14" s="31">
        <f t="shared" si="0"/>
        <v>5500</v>
      </c>
      <c r="D14" s="32">
        <f t="array" ref="D14">INDEX($B$111:$Q$131,MATCH($B14,$B$111:$B$131,0),COLUMN($D$2)-1)</f>
        <v>0.16633090909090908</v>
      </c>
      <c r="E14" s="33">
        <f t="shared" si="2"/>
        <v>914.81999999999994</v>
      </c>
      <c r="F14" s="34">
        <f t="shared" si="1"/>
        <v>10.316450637788327</v>
      </c>
      <c r="G14" s="34">
        <f t="shared" si="1"/>
        <v>19.875802288647424</v>
      </c>
      <c r="H14" s="34">
        <f t="shared" si="1"/>
        <v>0.4766377671249582</v>
      </c>
      <c r="I14" s="34">
        <f t="shared" si="1"/>
        <v>25.313893426650807</v>
      </c>
      <c r="J14" s="318">
        <f>IFERROR(K14/K18*100,)</f>
        <v>0</v>
      </c>
      <c r="K14" s="20">
        <v>0</v>
      </c>
      <c r="L14" s="33">
        <f t="array" ref="L14">LOOKUP(1,0/($B$111:$B$131=$B14),$L$111:$L$131)</f>
        <v>100</v>
      </c>
      <c r="M14" s="21">
        <v>0</v>
      </c>
      <c r="N14" s="33">
        <f t="shared" si="3"/>
        <v>0</v>
      </c>
      <c r="O14" s="33">
        <f t="shared" si="4"/>
        <v>0</v>
      </c>
      <c r="P14" s="35">
        <f t="array" ref="P14">INDEX($B$111:$AF$131,MATCH($B14,$B$111:$B$131,0),COLUMN($AA$111)-1)</f>
        <v>95.32</v>
      </c>
      <c r="Q14" s="33">
        <f t="shared" si="5"/>
        <v>0</v>
      </c>
      <c r="R14" s="23"/>
      <c r="S14" s="309" t="s">
        <v>372</v>
      </c>
      <c r="T14" s="306">
        <f>IFERROR($T$6/SUM($AQ$344:$AR$344)*10000*$H$90/100,)</f>
        <v>0</v>
      </c>
      <c r="U14" s="306">
        <v>0.9</v>
      </c>
      <c r="V14" s="60">
        <v>0</v>
      </c>
      <c r="W14" s="25"/>
      <c r="X14" s="23"/>
      <c r="Y14" s="23"/>
      <c r="Z14" s="44" t="s">
        <v>40</v>
      </c>
      <c r="AA14" s="38" t="s">
        <v>31</v>
      </c>
      <c r="AB14" s="39">
        <f>IFERROR(SUMPRODUCT($C$116:$C$130,$F$116:$F$130,$U$116:$U$130)/SUMPRODUCT($C$116:$C$130,$U$116:$U$130),)</f>
        <v>0</v>
      </c>
      <c r="AC14" s="40">
        <f>IFERROR(SUMPRODUCT($C$116:$C$130,$U$116:$U$130)/SUM($U$116:$U$130),)</f>
        <v>0</v>
      </c>
      <c r="AD14" s="41">
        <f>SUM($U$116:$U$130)</f>
        <v>0</v>
      </c>
      <c r="AE14" s="40">
        <f t="shared" si="6"/>
        <v>0</v>
      </c>
      <c r="AF14" s="23"/>
      <c r="AG14" s="23"/>
      <c r="AH14" s="23"/>
      <c r="AI14" s="23"/>
      <c r="AJ14" s="4"/>
      <c r="AK14" s="4"/>
      <c r="AL14" s="13"/>
    </row>
    <row r="15" spans="1:38" ht="17.649999999999999" thickTop="1" thickBot="1" x14ac:dyDescent="0.45">
      <c r="A15" s="51">
        <f>AP139*100</f>
        <v>88.884069684761329</v>
      </c>
      <c r="B15" s="15" t="str">
        <f>$B$124</f>
        <v>烟煤50备</v>
      </c>
      <c r="C15" s="16">
        <f t="shared" si="0"/>
        <v>5000</v>
      </c>
      <c r="D15" s="17">
        <f t="array" ref="D15">INDEX($B$111:$Q$131,MATCH($B15,$B$111:$B$131,0),COLUMN($D$2)-1)</f>
        <v>0</v>
      </c>
      <c r="E15" s="18">
        <f t="shared" si="2"/>
        <v>0</v>
      </c>
      <c r="F15" s="19">
        <f t="shared" si="1"/>
        <v>0</v>
      </c>
      <c r="G15" s="19">
        <f t="shared" si="1"/>
        <v>0</v>
      </c>
      <c r="H15" s="19">
        <f t="shared" si="1"/>
        <v>0</v>
      </c>
      <c r="I15" s="19">
        <f t="shared" si="1"/>
        <v>0</v>
      </c>
      <c r="J15" s="18">
        <f>IFERROR(K15/K18*100,)</f>
        <v>0</v>
      </c>
      <c r="K15" s="20">
        <v>0</v>
      </c>
      <c r="L15" s="18">
        <f t="array" ref="L15">LOOKUP(1,0/($B$111:$B$131=$B15),$L$111:$L$131)</f>
        <v>0</v>
      </c>
      <c r="M15" s="21">
        <v>0</v>
      </c>
      <c r="N15" s="18">
        <f t="shared" si="3"/>
        <v>0</v>
      </c>
      <c r="O15" s="18">
        <f t="shared" si="4"/>
        <v>0</v>
      </c>
      <c r="P15" s="22">
        <f t="array" ref="P15">INDEX($B$111:$AF$131,MATCH($B15,$B$111:$B$131,0),COLUMN($AA$111)-1)</f>
        <v>0</v>
      </c>
      <c r="Q15" s="18">
        <f t="shared" si="5"/>
        <v>0</v>
      </c>
      <c r="R15" s="23"/>
      <c r="S15" s="52" t="s">
        <v>41</v>
      </c>
      <c r="T15" s="55">
        <f>IFERROR(((SUMIF($B$3:$B$17,$B$112,$K$3:$K$17)+SUMIF($B$3:$B$17,$B$113,$K$3:$K$17)+SUMIF($B$3:$B$17,$B$114,$K$3:$K$17)+SUMIF($B$3:$B$17,$B$115,$K$3:$K$17))*(1-13%)+SUMIF($B$3:$B$17,$B$116,$K$3:$K$17)+SUMIF($B$3:$B$17,$B$117,$K$3:$K$17))/$K$18*100,)</f>
        <v>68.917589996106997</v>
      </c>
      <c r="U15" s="62">
        <v>100</v>
      </c>
      <c r="V15" s="62">
        <v>60</v>
      </c>
      <c r="W15" s="55"/>
      <c r="X15" s="23"/>
      <c r="Y15" s="23"/>
      <c r="Z15" s="58"/>
      <c r="AA15" s="47" t="s">
        <v>33</v>
      </c>
      <c r="AB15" s="48">
        <f>IFERROR(SUMPRODUCT($C$112:$C$130,$F$112:$F$130,$U$112:$U$130)/SUMPRODUCT($C$112:$C$130,$U$112:$U$130),)</f>
        <v>0</v>
      </c>
      <c r="AC15" s="49">
        <f>IFERROR(SUMPRODUCT($C$112:$C$130,$U$112:$U$130)/SUMPRODUCT($U$112:$U$130),)</f>
        <v>0</v>
      </c>
      <c r="AD15" s="50">
        <f>SUM($U$112:$U$130)</f>
        <v>0</v>
      </c>
      <c r="AE15" s="49">
        <f t="shared" si="6"/>
        <v>0</v>
      </c>
      <c r="AF15" s="23"/>
      <c r="AG15" s="23"/>
      <c r="AH15" s="23"/>
      <c r="AI15" s="23"/>
      <c r="AJ15" s="4"/>
      <c r="AK15" s="4"/>
      <c r="AL15" s="13"/>
    </row>
    <row r="16" spans="1:38" ht="17.649999999999999" thickTop="1" thickBot="1" x14ac:dyDescent="0.45">
      <c r="A16" s="51" t="s">
        <v>42</v>
      </c>
      <c r="B16" s="30" t="str">
        <f>$B$125</f>
        <v>烟煤55备</v>
      </c>
      <c r="C16" s="31">
        <f t="shared" si="0"/>
        <v>5500</v>
      </c>
      <c r="D16" s="32">
        <f t="array" ref="D16">INDEX($B$111:$Q$131,MATCH($B16,$B$111:$B$131,0),COLUMN($D$2)-1)</f>
        <v>0</v>
      </c>
      <c r="E16" s="33">
        <f t="shared" si="2"/>
        <v>0</v>
      </c>
      <c r="F16" s="34">
        <f t="shared" si="1"/>
        <v>0</v>
      </c>
      <c r="G16" s="34">
        <f t="shared" si="1"/>
        <v>0</v>
      </c>
      <c r="H16" s="34">
        <f t="shared" si="1"/>
        <v>0</v>
      </c>
      <c r="I16" s="34">
        <f t="shared" si="1"/>
        <v>0</v>
      </c>
      <c r="J16" s="318">
        <f>IFERROR(K16/K18*100,)</f>
        <v>0</v>
      </c>
      <c r="K16" s="20">
        <v>0</v>
      </c>
      <c r="L16" s="33">
        <f t="array" ref="L16">LOOKUP(1,0/($B$111:$B$131=$B16),$L$111:$L$131)</f>
        <v>0</v>
      </c>
      <c r="M16" s="21">
        <v>0</v>
      </c>
      <c r="N16" s="33">
        <f t="shared" si="3"/>
        <v>0</v>
      </c>
      <c r="O16" s="33">
        <f t="shared" si="4"/>
        <v>0</v>
      </c>
      <c r="P16" s="35">
        <f t="array" ref="P16">INDEX($B$111:$AF$131,MATCH($B16,$B$111:$B$131,0),COLUMN($AA$111)-1)</f>
        <v>0</v>
      </c>
      <c r="Q16" s="33">
        <f t="shared" si="5"/>
        <v>0</v>
      </c>
      <c r="R16" s="23"/>
      <c r="S16" s="56" t="s">
        <v>41</v>
      </c>
      <c r="T16" s="55">
        <f>IFERROR(((SUMIF($B$27:$B$41,$B$112,$K$27:$K$41)+SUMIF($B$27:$B$41,$B$113,$K$27:$K$41)+SUMIF($B$27:$B$41,$B$114,$K$27:$K$41)+SUMIF($B$27:$B$41,$B$115,$K$27:$K$41))*(1-13%)+SUMIF($B$27:$B$41,$B$116,$K$27:$K$41)+SUMIF($B$27:$B$41,$B$117,$K$27:$K$41))/$K$42*100,)</f>
        <v>47.941596273651641</v>
      </c>
      <c r="U16" s="62">
        <v>100</v>
      </c>
      <c r="V16" s="62">
        <v>0</v>
      </c>
      <c r="W16" s="55"/>
      <c r="X16" s="23"/>
      <c r="Y16" s="23"/>
      <c r="Z16" s="37"/>
      <c r="AA16" s="38" t="s">
        <v>30</v>
      </c>
      <c r="AB16" s="39">
        <f>(AB4*AC4*AD4+AB7*AC7*AD7+AB10*AC10*AD10+AB13*AC13*AD13)/(AC4*AD4+AC7*AD7+AC10*AD10+AC13*AD13)</f>
        <v>0.12014458172563713</v>
      </c>
      <c r="AC16" s="40">
        <f>(AC4*AD4+AC7*AD7+AC10*AD10+AC13*AD13)/(AD4+AD7+AD10+AD13)</f>
        <v>2220.5277960014732</v>
      </c>
      <c r="AD16" s="41">
        <f>SUM($K$112:$K$115)</f>
        <v>26.854121005500637</v>
      </c>
      <c r="AE16" s="40">
        <f t="shared" si="6"/>
        <v>7164.2601104619835</v>
      </c>
      <c r="AF16" s="23"/>
      <c r="AG16" s="23"/>
      <c r="AH16" s="23"/>
      <c r="AI16" s="23"/>
      <c r="AJ16" s="4"/>
      <c r="AK16" s="4"/>
      <c r="AL16" s="13"/>
    </row>
    <row r="17" spans="1:38" ht="17.649999999999999" thickTop="1" thickBot="1" x14ac:dyDescent="0.45">
      <c r="A17" s="51">
        <f>AP140</f>
        <v>8025.0199505440332</v>
      </c>
      <c r="B17" s="15" t="str">
        <f>$B$127</f>
        <v>石油焦</v>
      </c>
      <c r="C17" s="16">
        <f t="shared" si="0"/>
        <v>7256.4478151694502</v>
      </c>
      <c r="D17" s="17">
        <f t="array" ref="D17">INDEX($B$111:$Q$131,MATCH($B17,$B$111:$B$131,0),COLUMN($D$2)-1)</f>
        <v>0</v>
      </c>
      <c r="E17" s="18">
        <f t="shared" si="2"/>
        <v>0</v>
      </c>
      <c r="F17" s="19">
        <f>INDEX($B$111:$Q$131,MATCH($B17,$B$111:$B$131,0),MATCH(F$2,$B$111:$Q$111,0))</f>
        <v>0</v>
      </c>
      <c r="G17" s="19">
        <f>INDEX($B$111:$Q$131,MATCH($B17,$B$111:$B$131,0),MATCH(G$2,$B$111:$Q$111,0))</f>
        <v>0</v>
      </c>
      <c r="H17" s="19">
        <f>INDEX($B$111:$Q$131,MATCH($B17,$B$111:$B$131,0),MATCH(H$2,$B$111:$Q$111,0))</f>
        <v>0</v>
      </c>
      <c r="I17" s="19">
        <f>INDEX($B$111:$Q$131,MATCH($B17,$B$111:$B$131,0),MATCH(I$2,$B$111:$Q$111,0))</f>
        <v>0</v>
      </c>
      <c r="J17" s="18">
        <f>IFERROR(K17/K18*100,)</f>
        <v>0</v>
      </c>
      <c r="K17" s="20">
        <v>0</v>
      </c>
      <c r="L17" s="18">
        <f t="array" ref="L17">LOOKUP(1,0/($B$111:$B$131=$B17),$L$111:$L$131)</f>
        <v>0</v>
      </c>
      <c r="M17" s="21">
        <v>0</v>
      </c>
      <c r="N17" s="18">
        <f t="shared" si="3"/>
        <v>0</v>
      </c>
      <c r="O17" s="18">
        <f t="shared" si="4"/>
        <v>0</v>
      </c>
      <c r="P17" s="22">
        <f t="array" ref="P17">INDEX($B$111:$AF$131,MATCH($B17,$B$111:$B$131,0),COLUMN($AA$111)-1)</f>
        <v>0</v>
      </c>
      <c r="Q17" s="18">
        <f t="shared" si="5"/>
        <v>0</v>
      </c>
      <c r="R17" s="23"/>
      <c r="S17" s="57" t="s">
        <v>41</v>
      </c>
      <c r="T17" s="55">
        <f>IFERROR(((SUMIF($B$51:$B$65,$B$112,$K$51:$K$65)+SUMIF($B$51:$B$65,$B$113,$K$51:$K$65)+SUMIF($B$51:$B$65,$B$114,$K$51:$K$65)+SUMIF($B$51:$B$65,$B$115,$K$51:$K$65))*(1-13%)+SUMIF($B$51:$B$65,$B$116,$K$51:$K$65)+SUMIF($B$51:$B$65,$B$117,$K$51:$K$65))/$K$66*100,)</f>
        <v>0</v>
      </c>
      <c r="U17" s="62">
        <v>100</v>
      </c>
      <c r="V17" s="62">
        <v>0</v>
      </c>
      <c r="W17" s="55"/>
      <c r="X17" s="23"/>
      <c r="Y17" s="23"/>
      <c r="Z17" s="44" t="s">
        <v>43</v>
      </c>
      <c r="AA17" s="38" t="s">
        <v>31</v>
      </c>
      <c r="AB17" s="39">
        <f>(AB5*AC5*AD5+AB8*AC8*AD8+AB11*AC11*AD11+AB14*AC14*AD14)/(AC5*AD5+AC8*AD8+AC11*AD11+AC14*AD14)</f>
        <v>0.14542261232457268</v>
      </c>
      <c r="AC17" s="40">
        <f>(AC5*AD5+AC8*AD8+AC11*AD11+AC14*AD14)/(AD5+AD8+AD11+AD14)</f>
        <v>3502.6188646558107</v>
      </c>
      <c r="AD17" s="41">
        <f>SUM($K$116:$K$130)</f>
        <v>32.076366967033444</v>
      </c>
      <c r="AE17" s="40">
        <f t="shared" si="6"/>
        <v>16338.417806022157</v>
      </c>
      <c r="AF17" s="23"/>
      <c r="AG17" s="23"/>
      <c r="AH17" s="23"/>
      <c r="AI17" s="23"/>
      <c r="AJ17" s="4"/>
      <c r="AK17" s="4"/>
      <c r="AL17" s="13"/>
    </row>
    <row r="18" spans="1:38" ht="16.5" thickTop="1" thickBot="1" x14ac:dyDescent="0.45">
      <c r="A18" s="29"/>
      <c r="B18" s="63" t="s">
        <v>44</v>
      </c>
      <c r="C18" s="64">
        <f>IFERROR(SUMPRODUCT(C3:C17,K3:K17)/SUM(K3:K17),)</f>
        <v>2715.0863245712239</v>
      </c>
      <c r="D18" s="65">
        <f>IFERROR(SUMPRODUCT(C3:C17,D3:D17,K3:K17)/SUMPRODUCT(C3:C17,K3:K17),)</f>
        <v>0.13467978235025016</v>
      </c>
      <c r="E18" s="64">
        <f>IFERROR(SUMPRODUCT(C3:C17,E3:E17,K3:K17)/SUMPRODUCT(C3:C17,K3:K17),)</f>
        <v>438.28033102071834</v>
      </c>
      <c r="F18" s="64">
        <f>IFERROR(SUMPRODUCT(F3:F17,K3:K17)/SUM(K3:K17),)</f>
        <v>12.226835238014631</v>
      </c>
      <c r="G18" s="64">
        <f>IFERROR(SUMPRODUCT(G3:G17,K3:K17)/SUM(K3:K17),)</f>
        <v>46.621390241657728</v>
      </c>
      <c r="H18" s="64">
        <f>IFERROR(SUMPRODUCT(H3:H17,K3:K17)/SUM(K3:K17),)</f>
        <v>0.92122354841539245</v>
      </c>
      <c r="I18" s="64">
        <f>IFERROR(SUMPRODUCT(I3:I17,K3:K17)/SUM(K3:K17),)</f>
        <v>21.815227870418621</v>
      </c>
      <c r="J18" s="64">
        <f>IFERROR(SUM(J3:J17),)</f>
        <v>100</v>
      </c>
      <c r="K18" s="64">
        <f>IFERROR(SUM(K3:K17),)</f>
        <v>33.900032308305157</v>
      </c>
      <c r="L18" s="64">
        <f t="shared" ref="L18" si="7">SUM(L3:L17)</f>
        <v>226.85412100550064</v>
      </c>
      <c r="M18" s="64">
        <f t="shared" ref="M18:O18" si="8">SUM(M3:M17)</f>
        <v>0</v>
      </c>
      <c r="N18" s="64">
        <f t="shared" si="8"/>
        <v>11325.004813290272</v>
      </c>
      <c r="O18" s="64">
        <f t="shared" si="8"/>
        <v>1071.1262759561776</v>
      </c>
      <c r="P18" s="64">
        <f>IFERROR(SUMPRODUCT(P3:P17,K3:K17)/SUM(K3:K17),)</f>
        <v>31.596615195371442</v>
      </c>
      <c r="Q18" s="64">
        <f>SUM(Q3:Q17)</f>
        <v>12396.13108924645</v>
      </c>
      <c r="R18" s="64">
        <f>SUM(R3:R17)</f>
        <v>0</v>
      </c>
      <c r="S18" s="59" t="s">
        <v>41</v>
      </c>
      <c r="T18" s="55">
        <f>IFERROR(((SUMIF($B$75:$B$89,$B$112,$K$75:$K$89)+SUMIF($B$75:$B$89,$B$113,$K$75:$K$89)+SUMIF($B$75:$B$89,$B$114,$K$75:$K$89)+SUMIF($B$75:$B$89,$B$115,$K$75:$K$89))*(1-13%)+SUMIF($B$75:$B$89,$B$116,$K$75:$K$89)+SUMIF($B$75:$B$89,$B$117,$K$75:$K$89))/$K$90*100,)</f>
        <v>0</v>
      </c>
      <c r="U18" s="62">
        <v>100</v>
      </c>
      <c r="V18" s="62">
        <v>0</v>
      </c>
      <c r="W18" s="55"/>
      <c r="X18" s="23"/>
      <c r="Y18" s="23"/>
      <c r="Z18" s="58"/>
      <c r="AA18" s="47" t="s">
        <v>33</v>
      </c>
      <c r="AB18" s="48">
        <f>(AB6*AC6*AD6+AB9*AC9*AD9+AB12*AC12*AD12+AB15*AC15*AD15)/(AC6*AD6+AC9*AD9+AC12*AD12+AC15*AD15)</f>
        <v>0.13665808740902091</v>
      </c>
      <c r="AC18" s="49">
        <f>(AC6*AD6+AC9*AD9+AC12*AD12+AC15*AD15)/(AD6+AD9+AD12+AD15)</f>
        <v>2918.3808940867934</v>
      </c>
      <c r="AD18" s="50">
        <f>SUM($K$112:$K$130)</f>
        <v>58.930487972534081</v>
      </c>
      <c r="AE18" s="49">
        <f t="shared" si="6"/>
        <v>23502.677916484135</v>
      </c>
      <c r="AG18" s="23"/>
      <c r="AI18" s="23"/>
      <c r="AJ18" s="4"/>
      <c r="AK18" s="4"/>
      <c r="AL18" s="13"/>
    </row>
    <row r="19" spans="1:38" ht="16.5" thickTop="1" thickBot="1" x14ac:dyDescent="0.45">
      <c r="A19" s="42"/>
      <c r="B19" s="66" t="s">
        <v>45</v>
      </c>
      <c r="C19" s="67">
        <f>T$47</f>
        <v>40</v>
      </c>
      <c r="D19" s="68" t="s">
        <v>46</v>
      </c>
      <c r="E19" s="69">
        <f>$K18*$G18/100*C19/100</f>
        <v>6.3218665418011986</v>
      </c>
      <c r="F19" s="70" t="s">
        <v>47</v>
      </c>
      <c r="G19" s="71">
        <f>T$51</f>
        <v>40.000000000000099</v>
      </c>
      <c r="H19" s="72" t="s">
        <v>48</v>
      </c>
      <c r="I19" s="73">
        <f>E19*G19/100</f>
        <v>2.5287466167204857</v>
      </c>
      <c r="J19" s="68" t="s">
        <v>49</v>
      </c>
      <c r="K19" s="74">
        <f>T$54</f>
        <v>-20</v>
      </c>
      <c r="L19" s="68" t="s">
        <v>50</v>
      </c>
      <c r="M19" s="69">
        <f t="shared" ref="M19:M26" si="9">I19*K19</f>
        <v>-50.574932334409716</v>
      </c>
      <c r="N19" s="68" t="s">
        <v>51</v>
      </c>
      <c r="O19" s="75">
        <v>13</v>
      </c>
      <c r="P19" s="68" t="s">
        <v>52</v>
      </c>
      <c r="Q19" s="69">
        <f>M19/(1+O19/100)</f>
        <v>-44.756577287088248</v>
      </c>
      <c r="R19" s="23"/>
      <c r="S19" s="24" t="s">
        <v>53</v>
      </c>
      <c r="T19" s="306">
        <f>IFERROR($T$3/SUM($AQ$146,$AR$146)*10000,)</f>
        <v>276.96104827046696</v>
      </c>
      <c r="U19" s="62">
        <v>300</v>
      </c>
      <c r="V19" s="62">
        <v>0</v>
      </c>
      <c r="W19" s="25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4"/>
      <c r="AK19" s="4"/>
      <c r="AL19" s="13"/>
    </row>
    <row r="20" spans="1:38" ht="16.899999999999999" thickTop="1" thickBot="1" x14ac:dyDescent="0.45">
      <c r="A20" s="29"/>
      <c r="B20" s="76" t="s">
        <v>54</v>
      </c>
      <c r="C20" s="77">
        <f>100-C19</f>
        <v>60</v>
      </c>
      <c r="D20" s="78" t="s">
        <v>55</v>
      </c>
      <c r="E20" s="79">
        <f>$K18*$G18/100*C20/100</f>
        <v>9.4827998127017992</v>
      </c>
      <c r="F20" s="80" t="s">
        <v>56</v>
      </c>
      <c r="G20" s="81">
        <f>T$52</f>
        <v>45</v>
      </c>
      <c r="H20" s="82" t="s">
        <v>57</v>
      </c>
      <c r="I20" s="83">
        <f t="shared" ref="I20:I21" si="10">E20*G20/100</f>
        <v>4.2672599157158091</v>
      </c>
      <c r="J20" s="78" t="s">
        <v>58</v>
      </c>
      <c r="K20" s="84">
        <f>T$55</f>
        <v>-8</v>
      </c>
      <c r="L20" s="78" t="s">
        <v>59</v>
      </c>
      <c r="M20" s="79">
        <f t="shared" si="9"/>
        <v>-34.138079325726473</v>
      </c>
      <c r="N20" s="78" t="s">
        <v>60</v>
      </c>
      <c r="O20" s="85">
        <v>13</v>
      </c>
      <c r="P20" s="78" t="s">
        <v>52</v>
      </c>
      <c r="Q20" s="79">
        <f t="shared" ref="Q20:Q26" si="11">M20/(1+O20/100)</f>
        <v>-30.210689668784493</v>
      </c>
      <c r="R20" s="23"/>
      <c r="S20" s="36" t="s">
        <v>53</v>
      </c>
      <c r="T20" s="306">
        <f>IFERROR($T$4/SUM($AQ$212:$AR$212)*10000,)</f>
        <v>248.31801254195361</v>
      </c>
      <c r="U20" s="62">
        <v>300</v>
      </c>
      <c r="V20" s="62">
        <v>0</v>
      </c>
      <c r="W20" s="25"/>
      <c r="X20" s="23"/>
      <c r="Y20" s="23"/>
      <c r="Z20" s="86" t="s">
        <v>20</v>
      </c>
      <c r="AA20" s="86" t="s">
        <v>3</v>
      </c>
      <c r="AB20" s="86" t="s">
        <v>25</v>
      </c>
      <c r="AC20" s="86" t="s">
        <v>36</v>
      </c>
      <c r="AD20" s="86" t="s">
        <v>38</v>
      </c>
      <c r="AE20" s="86" t="s">
        <v>40</v>
      </c>
      <c r="AF20" s="86" t="s">
        <v>33</v>
      </c>
      <c r="AG20" s="23"/>
      <c r="AH20" s="23"/>
      <c r="AI20" s="23"/>
      <c r="AJ20" s="4"/>
      <c r="AK20" s="4"/>
      <c r="AL20" s="13"/>
    </row>
    <row r="21" spans="1:38" ht="16.899999999999999" thickTop="1" thickBot="1" x14ac:dyDescent="0.45">
      <c r="A21" s="42"/>
      <c r="B21" s="76" t="s">
        <v>61</v>
      </c>
      <c r="C21" s="87">
        <f>T$49</f>
        <v>4.3499999999999996</v>
      </c>
      <c r="D21" s="78" t="s">
        <v>62</v>
      </c>
      <c r="E21" s="79">
        <f>C22*I25</f>
        <v>2.6490430207190028</v>
      </c>
      <c r="F21" s="80" t="s">
        <v>63</v>
      </c>
      <c r="G21" s="81">
        <f>T$53</f>
        <v>38</v>
      </c>
      <c r="H21" s="82" t="s">
        <v>64</v>
      </c>
      <c r="I21" s="83">
        <f t="shared" si="10"/>
        <v>1.0066363478732212</v>
      </c>
      <c r="J21" s="78" t="s">
        <v>65</v>
      </c>
      <c r="K21" s="84">
        <f>T$56</f>
        <v>-5</v>
      </c>
      <c r="L21" s="78" t="s">
        <v>66</v>
      </c>
      <c r="M21" s="79">
        <f t="shared" si="9"/>
        <v>-5.033181739366106</v>
      </c>
      <c r="N21" s="78" t="s">
        <v>67</v>
      </c>
      <c r="O21" s="85">
        <v>13</v>
      </c>
      <c r="P21" s="78" t="s">
        <v>52</v>
      </c>
      <c r="Q21" s="79">
        <f t="shared" si="11"/>
        <v>-4.454143132182395</v>
      </c>
      <c r="R21" s="23"/>
      <c r="S21" s="43" t="s">
        <v>53</v>
      </c>
      <c r="T21" s="306">
        <f>IFERROR($T$5/SUM($AQ$278:$AR$278)*10000,)</f>
        <v>0</v>
      </c>
      <c r="U21" s="62">
        <v>150</v>
      </c>
      <c r="V21" s="62">
        <v>0</v>
      </c>
      <c r="W21" s="25"/>
      <c r="X21" s="23"/>
      <c r="Y21" s="23"/>
      <c r="Z21" s="88" t="s">
        <v>68</v>
      </c>
      <c r="AA21" s="89" t="s">
        <v>69</v>
      </c>
      <c r="AB21" s="90">
        <f>E19</f>
        <v>6.3218665418011986</v>
      </c>
      <c r="AC21" s="90">
        <f>E43</f>
        <v>5.5269737642372654</v>
      </c>
      <c r="AD21" s="90">
        <f>E67</f>
        <v>0</v>
      </c>
      <c r="AE21" s="90">
        <f>E91</f>
        <v>0</v>
      </c>
      <c r="AF21" s="90">
        <f>SUM(AB21:AE21)</f>
        <v>11.848840306038465</v>
      </c>
      <c r="AG21" s="23"/>
      <c r="AH21" s="23"/>
      <c r="AI21" s="23"/>
      <c r="AJ21" s="4"/>
      <c r="AK21" s="4"/>
      <c r="AL21" s="13"/>
    </row>
    <row r="22" spans="1:38" ht="16.899999999999999" thickTop="1" thickBot="1" x14ac:dyDescent="0.45">
      <c r="A22" s="29"/>
      <c r="B22" s="76" t="s">
        <v>70</v>
      </c>
      <c r="C22" s="91">
        <f>T$50</f>
        <v>1.95</v>
      </c>
      <c r="D22" s="78" t="s">
        <v>71</v>
      </c>
      <c r="E22" s="87">
        <f>T$62</f>
        <v>0</v>
      </c>
      <c r="F22" s="80" t="s">
        <v>72</v>
      </c>
      <c r="G22" s="81">
        <f>T64</f>
        <v>25</v>
      </c>
      <c r="H22" s="80" t="s">
        <v>73</v>
      </c>
      <c r="I22" s="83">
        <f>(E19-I19)/(1-G22/100)</f>
        <v>5.0574932334409501</v>
      </c>
      <c r="J22" s="78" t="s">
        <v>74</v>
      </c>
      <c r="K22" s="84">
        <f>T$57</f>
        <v>7.9</v>
      </c>
      <c r="L22" s="78" t="s">
        <v>75</v>
      </c>
      <c r="M22" s="79">
        <f t="shared" si="9"/>
        <v>39.95419654418351</v>
      </c>
      <c r="N22" s="78" t="s">
        <v>76</v>
      </c>
      <c r="O22" s="85">
        <v>6</v>
      </c>
      <c r="P22" s="78" t="s">
        <v>52</v>
      </c>
      <c r="Q22" s="79">
        <f t="shared" si="11"/>
        <v>37.692638249229724</v>
      </c>
      <c r="R22" s="23"/>
      <c r="S22" s="45" t="s">
        <v>53</v>
      </c>
      <c r="T22" s="306">
        <f>IFERROR($T$6/SUM($AQ$344:$AR$344)*10000,)</f>
        <v>0</v>
      </c>
      <c r="U22" s="62">
        <v>150</v>
      </c>
      <c r="V22" s="62">
        <v>0</v>
      </c>
      <c r="W22" s="25"/>
      <c r="X22" s="23"/>
      <c r="Y22" s="23"/>
      <c r="Z22" s="88" t="s">
        <v>77</v>
      </c>
      <c r="AA22" s="89" t="s">
        <v>69</v>
      </c>
      <c r="AB22" s="90">
        <f>E20</f>
        <v>9.4827998127017992</v>
      </c>
      <c r="AC22" s="90">
        <f>E44</f>
        <v>0.61410819602636268</v>
      </c>
      <c r="AD22" s="90">
        <f>E68</f>
        <v>0</v>
      </c>
      <c r="AE22" s="90">
        <f>E92</f>
        <v>0</v>
      </c>
      <c r="AF22" s="90">
        <f t="shared" ref="AF22:AF36" si="12">SUM(AB22:AE22)</f>
        <v>10.096908008728162</v>
      </c>
      <c r="AG22" s="23"/>
      <c r="AH22" s="23"/>
      <c r="AI22" s="23"/>
      <c r="AJ22" s="4"/>
      <c r="AK22" s="4"/>
      <c r="AL22" s="13"/>
    </row>
    <row r="23" spans="1:38" ht="16.899999999999999" thickTop="1" thickBot="1" x14ac:dyDescent="0.45">
      <c r="A23" s="42"/>
      <c r="B23" s="76"/>
      <c r="C23" s="92"/>
      <c r="D23" s="78" t="s">
        <v>78</v>
      </c>
      <c r="E23" s="87">
        <f>T$63</f>
        <v>168</v>
      </c>
      <c r="F23" s="80" t="s">
        <v>79</v>
      </c>
      <c r="G23" s="81">
        <f>T65</f>
        <v>25</v>
      </c>
      <c r="H23" s="80" t="s">
        <v>80</v>
      </c>
      <c r="I23" s="83">
        <f>(E20-I20)/(1-G23/100)</f>
        <v>6.9540531959813201</v>
      </c>
      <c r="J23" s="78" t="s">
        <v>81</v>
      </c>
      <c r="K23" s="84">
        <f>T$58</f>
        <v>7.9</v>
      </c>
      <c r="L23" s="78" t="s">
        <v>82</v>
      </c>
      <c r="M23" s="79">
        <f t="shared" si="9"/>
        <v>54.937020248252431</v>
      </c>
      <c r="N23" s="78" t="s">
        <v>83</v>
      </c>
      <c r="O23" s="85">
        <v>6</v>
      </c>
      <c r="P23" s="78" t="s">
        <v>52</v>
      </c>
      <c r="Q23" s="79">
        <f t="shared" si="11"/>
        <v>51.827377592690972</v>
      </c>
      <c r="R23" s="23"/>
      <c r="S23" s="52" t="s">
        <v>373</v>
      </c>
      <c r="T23" s="55">
        <f>IFERROR($T$3/SUM($AQ$146,$AR$146)*10000*$G$18/100,)</f>
        <v>129.12309113156044</v>
      </c>
      <c r="U23" s="62">
        <v>150</v>
      </c>
      <c r="V23" s="62">
        <v>0</v>
      </c>
      <c r="W23" s="55"/>
      <c r="X23" s="23"/>
      <c r="Y23" s="23"/>
      <c r="Z23" s="88" t="s">
        <v>84</v>
      </c>
      <c r="AA23" s="89" t="s">
        <v>69</v>
      </c>
      <c r="AB23" s="90">
        <f>E21</f>
        <v>2.6490430207190028</v>
      </c>
      <c r="AC23" s="90">
        <f>E45</f>
        <v>0.48809617300989688</v>
      </c>
      <c r="AD23" s="90">
        <f>E69</f>
        <v>0</v>
      </c>
      <c r="AE23" s="90"/>
      <c r="AF23" s="90">
        <f t="shared" si="12"/>
        <v>3.1371391937288995</v>
      </c>
      <c r="AG23" s="23"/>
      <c r="AH23" s="23"/>
      <c r="AI23" s="23"/>
      <c r="AJ23" s="4"/>
      <c r="AK23" s="4"/>
      <c r="AL23" s="13"/>
    </row>
    <row r="24" spans="1:38" ht="16.899999999999999" thickTop="1" thickBot="1" x14ac:dyDescent="0.45">
      <c r="A24" s="29"/>
      <c r="B24" s="76"/>
      <c r="C24" s="92"/>
      <c r="D24" s="78" t="s">
        <v>85</v>
      </c>
      <c r="E24" s="79">
        <f>E22*E23</f>
        <v>0</v>
      </c>
      <c r="F24" s="80"/>
      <c r="G24" s="80"/>
      <c r="H24" s="82" t="s">
        <v>86</v>
      </c>
      <c r="I24" s="83">
        <f>E21-I21</f>
        <v>1.6424066728457816</v>
      </c>
      <c r="J24" s="78" t="s">
        <v>87</v>
      </c>
      <c r="K24" s="84">
        <f>T$59</f>
        <v>7.9</v>
      </c>
      <c r="L24" s="78" t="s">
        <v>88</v>
      </c>
      <c r="M24" s="79">
        <f t="shared" si="9"/>
        <v>12.975012715481675</v>
      </c>
      <c r="N24" s="78" t="s">
        <v>89</v>
      </c>
      <c r="O24" s="85">
        <v>6</v>
      </c>
      <c r="P24" s="78" t="s">
        <v>52</v>
      </c>
      <c r="Q24" s="79">
        <f t="shared" si="11"/>
        <v>12.240578033473279</v>
      </c>
      <c r="R24" s="23"/>
      <c r="S24" s="56" t="s">
        <v>373</v>
      </c>
      <c r="T24" s="55">
        <f>IFERROR($T$4/SUM($AQ$212:$AR$212)*10000*$G$42/100,)</f>
        <v>60.923432145472496</v>
      </c>
      <c r="U24" s="62">
        <v>104.57</v>
      </c>
      <c r="V24" s="62">
        <v>0</v>
      </c>
      <c r="W24" s="55"/>
      <c r="X24" s="23"/>
      <c r="Y24" s="23"/>
      <c r="Z24" s="88" t="s">
        <v>90</v>
      </c>
      <c r="AA24" s="89" t="s">
        <v>69</v>
      </c>
      <c r="AB24" s="90"/>
      <c r="AC24" s="90"/>
      <c r="AD24" s="90"/>
      <c r="AE24" s="90">
        <f>E93</f>
        <v>0</v>
      </c>
      <c r="AF24" s="90">
        <f t="shared" si="12"/>
        <v>0</v>
      </c>
      <c r="AG24" s="23"/>
      <c r="AH24" s="23"/>
      <c r="AI24" s="23"/>
      <c r="AJ24" s="4"/>
      <c r="AK24" s="4"/>
      <c r="AL24" s="13"/>
    </row>
    <row r="25" spans="1:38" ht="16.899999999999999" thickTop="1" thickBot="1" x14ac:dyDescent="0.45">
      <c r="A25" s="29"/>
      <c r="B25" s="76"/>
      <c r="C25" s="92"/>
      <c r="D25" s="78" t="s">
        <v>91</v>
      </c>
      <c r="E25" s="93">
        <v>9</v>
      </c>
      <c r="F25" s="80"/>
      <c r="G25" s="80"/>
      <c r="H25" s="82" t="s">
        <v>92</v>
      </c>
      <c r="I25" s="83">
        <f>H18/100*K18*C21</f>
        <v>1.3584836003687195</v>
      </c>
      <c r="J25" s="78" t="s">
        <v>93</v>
      </c>
      <c r="K25" s="84">
        <f>T$60</f>
        <v>67</v>
      </c>
      <c r="L25" s="78" t="s">
        <v>94</v>
      </c>
      <c r="M25" s="79">
        <f t="shared" si="9"/>
        <v>91.018401224704206</v>
      </c>
      <c r="N25" s="78" t="s">
        <v>95</v>
      </c>
      <c r="O25" s="85">
        <v>13</v>
      </c>
      <c r="P25" s="78" t="s">
        <v>52</v>
      </c>
      <c r="Q25" s="79">
        <f t="shared" si="11"/>
        <v>80.547257720977186</v>
      </c>
      <c r="R25" s="23"/>
      <c r="S25" s="57" t="s">
        <v>373</v>
      </c>
      <c r="T25" s="55">
        <f>IFERROR($T$5/SUM($AQ$278:$AR$278)*10000*$G$66/100,)</f>
        <v>0</v>
      </c>
      <c r="U25" s="62">
        <v>43.88</v>
      </c>
      <c r="V25" s="62">
        <v>0</v>
      </c>
      <c r="W25" s="55"/>
      <c r="X25" s="23"/>
      <c r="Y25" s="23"/>
      <c r="Z25" s="94" t="s">
        <v>96</v>
      </c>
      <c r="AA25" s="95" t="s">
        <v>69</v>
      </c>
      <c r="AB25" s="96">
        <f>I19</f>
        <v>2.5287466167204857</v>
      </c>
      <c r="AC25" s="96">
        <f>I43</f>
        <v>1.4253187909451108</v>
      </c>
      <c r="AD25" s="96">
        <f>I67</f>
        <v>0</v>
      </c>
      <c r="AE25" s="96">
        <f>I91</f>
        <v>0</v>
      </c>
      <c r="AF25" s="96">
        <f t="shared" si="12"/>
        <v>3.9540654076655963</v>
      </c>
      <c r="AG25" s="23"/>
      <c r="AH25" s="23"/>
      <c r="AI25" s="23"/>
      <c r="AJ25" s="4"/>
      <c r="AK25" s="4"/>
      <c r="AL25" s="13"/>
    </row>
    <row r="26" spans="1:38" ht="16.899999999999999" thickTop="1" thickBot="1" x14ac:dyDescent="0.45">
      <c r="A26" s="97"/>
      <c r="B26" s="76"/>
      <c r="C26" s="92"/>
      <c r="D26" s="78" t="s">
        <v>97</v>
      </c>
      <c r="E26" s="79">
        <f>E24/(1+E25/100)</f>
        <v>0</v>
      </c>
      <c r="F26" s="80"/>
      <c r="G26" s="98"/>
      <c r="H26" s="82" t="s">
        <v>98</v>
      </c>
      <c r="I26" s="83">
        <f>(0.016*I18+0.09)/100*K18*12%/85%*2.354*0</f>
        <v>0</v>
      </c>
      <c r="J26" s="78" t="s">
        <v>99</v>
      </c>
      <c r="K26" s="84">
        <f>T$61</f>
        <v>2200</v>
      </c>
      <c r="L26" s="78" t="s">
        <v>100</v>
      </c>
      <c r="M26" s="79">
        <f t="shared" si="9"/>
        <v>0</v>
      </c>
      <c r="N26" s="78" t="s">
        <v>101</v>
      </c>
      <c r="O26" s="85">
        <v>13</v>
      </c>
      <c r="P26" s="78" t="s">
        <v>52</v>
      </c>
      <c r="Q26" s="99">
        <f t="shared" si="11"/>
        <v>0</v>
      </c>
      <c r="R26" s="23"/>
      <c r="S26" s="59" t="s">
        <v>373</v>
      </c>
      <c r="T26" s="55">
        <f>IFERROR($T$6/SUM($AQ$344:$AR$344)*10000*$G$90/100,)</f>
        <v>0</v>
      </c>
      <c r="U26" s="62">
        <v>41.99</v>
      </c>
      <c r="V26" s="62">
        <v>0</v>
      </c>
      <c r="W26" s="55"/>
      <c r="X26" s="23"/>
      <c r="Y26" s="23"/>
      <c r="Z26" s="94" t="s">
        <v>102</v>
      </c>
      <c r="AA26" s="95" t="s">
        <v>69</v>
      </c>
      <c r="AB26" s="96">
        <f>I20</f>
        <v>4.2672599157158091</v>
      </c>
      <c r="AC26" s="96">
        <f>I44</f>
        <v>0.35632969773627793</v>
      </c>
      <c r="AD26" s="96">
        <f>I68</f>
        <v>0</v>
      </c>
      <c r="AE26" s="96">
        <f>I92</f>
        <v>0</v>
      </c>
      <c r="AF26" s="96">
        <f t="shared" si="12"/>
        <v>4.6235896134520873</v>
      </c>
      <c r="AG26" s="23"/>
      <c r="AH26" s="23"/>
      <c r="AI26" s="23"/>
      <c r="AJ26" s="4"/>
      <c r="AK26" s="4"/>
      <c r="AL26" s="13"/>
    </row>
    <row r="27" spans="1:38" ht="17.649999999999999" thickTop="1" thickBot="1" x14ac:dyDescent="0.45">
      <c r="A27" s="14" t="s">
        <v>36</v>
      </c>
      <c r="B27" s="15" t="str">
        <f>$B$112</f>
        <v>东怀</v>
      </c>
      <c r="C27" s="16">
        <f t="shared" ref="C27:C41" si="13">INDEX($B$111:$Q$131,MATCH($B27,$B$111:$B$131,0),MATCH(C$2,$B$111:$Q$111,0))</f>
        <v>2482.3500545256302</v>
      </c>
      <c r="D27" s="17">
        <f t="array" ref="D27">INDEX($B$111:$Q$131,MATCH($B27,$B$111:$B$131,0),COLUMN($D$2))</f>
        <v>0.12909954246226904</v>
      </c>
      <c r="E27" s="18">
        <f>C27*D27</f>
        <v>320.47025627044746</v>
      </c>
      <c r="F27" s="19">
        <f t="shared" ref="F27:I41" si="14">INDEX($B$111:$Q$131,MATCH($B27,$B$111:$B$131,0),MATCH(F$2,$B$111:$Q$111,0))</f>
        <v>9.0500000000000007</v>
      </c>
      <c r="G27" s="19">
        <f t="shared" si="14"/>
        <v>53.753421052631602</v>
      </c>
      <c r="H27" s="19">
        <f t="shared" si="14"/>
        <v>1.5392982456140301</v>
      </c>
      <c r="I27" s="19">
        <f t="shared" si="14"/>
        <v>20.240833333333299</v>
      </c>
      <c r="J27" s="18">
        <f>IFERROR(K27/K42*100,)</f>
        <v>0</v>
      </c>
      <c r="K27" s="20">
        <v>0</v>
      </c>
      <c r="L27" s="18">
        <v>0</v>
      </c>
      <c r="M27" s="21">
        <v>0</v>
      </c>
      <c r="N27" s="18">
        <f>IF(P27&gt;0,INDEX($B$111:$Z$131,MATCH(B27,$B$111:$B$131,0),MATCH($Z$111,$B$111:$Z$111,0))*C27*K27,C27*D27*K27)</f>
        <v>0</v>
      </c>
      <c r="O27" s="18">
        <f>P27*K27</f>
        <v>0</v>
      </c>
      <c r="P27" s="22">
        <f t="array" ref="P27">INDEX($B$111:$AF$131,MATCH($B27,$B$111:$B$131,0),COLUMN($AA$111))</f>
        <v>35</v>
      </c>
      <c r="Q27" s="18">
        <f>SUM(N27:O27)</f>
        <v>0</v>
      </c>
      <c r="R27" s="23"/>
      <c r="S27" s="305" t="s">
        <v>374</v>
      </c>
      <c r="T27" s="306" cm="1">
        <f t="array" ref="T27">SUMPRODUCT((B3:B17="石油焦")*1,J3:J17)</f>
        <v>0</v>
      </c>
      <c r="U27" s="62">
        <v>5</v>
      </c>
      <c r="V27" s="62">
        <v>0</v>
      </c>
      <c r="W27" s="25"/>
      <c r="X27" s="23"/>
      <c r="Y27" s="23"/>
      <c r="Z27" s="94" t="s">
        <v>104</v>
      </c>
      <c r="AA27" s="95" t="s">
        <v>69</v>
      </c>
      <c r="AB27" s="96">
        <f>I21</f>
        <v>1.0066363478732212</v>
      </c>
      <c r="AC27" s="96">
        <f>I45</f>
        <v>0.2876785513717004</v>
      </c>
      <c r="AD27" s="96">
        <f>I69</f>
        <v>0</v>
      </c>
      <c r="AE27" s="96"/>
      <c r="AF27" s="96">
        <f t="shared" si="12"/>
        <v>1.2943148992449216</v>
      </c>
      <c r="AG27" s="23"/>
      <c r="AH27" s="23"/>
      <c r="AI27" s="23"/>
      <c r="AJ27" s="4"/>
      <c r="AK27" s="4"/>
      <c r="AL27" s="13"/>
    </row>
    <row r="28" spans="1:38" ht="17.649999999999999" thickTop="1" thickBot="1" x14ac:dyDescent="0.45">
      <c r="A28" s="100" t="s">
        <v>29</v>
      </c>
      <c r="B28" s="30" t="str">
        <f>$B$113</f>
        <v>跃进</v>
      </c>
      <c r="C28" s="31">
        <f t="shared" si="13"/>
        <v>1800</v>
      </c>
      <c r="D28" s="32">
        <f t="array" ref="D28">INDEX($B$111:$Q$131,MATCH($B28,$B$111:$B$131,0),COLUMN($D$2))</f>
        <v>0.13777777777777778</v>
      </c>
      <c r="E28" s="33">
        <f t="shared" ref="E28:E41" si="15">C28*D28</f>
        <v>248</v>
      </c>
      <c r="F28" s="34">
        <f t="shared" si="14"/>
        <v>9.9</v>
      </c>
      <c r="G28" s="34">
        <f t="shared" si="14"/>
        <v>59.606917129365399</v>
      </c>
      <c r="H28" s="34">
        <f t="shared" si="14"/>
        <v>0.41611229308287101</v>
      </c>
      <c r="I28" s="34">
        <f t="shared" si="14"/>
        <v>16.798780551087098</v>
      </c>
      <c r="J28" s="318">
        <f>IFERROR(K28/K42*100,)</f>
        <v>0</v>
      </c>
      <c r="K28" s="20">
        <v>0</v>
      </c>
      <c r="L28" s="33">
        <v>0</v>
      </c>
      <c r="M28" s="21">
        <v>0</v>
      </c>
      <c r="N28" s="33">
        <f t="shared" ref="N28:N41" si="16">IF(P28&gt;0,INDEX($B$111:$Z$131,MATCH(B28,$B$111:$B$131,0),MATCH($Z$111,$B$111:$Z$111,0))*C28*K28,C28*D28*K28)</f>
        <v>0</v>
      </c>
      <c r="O28" s="33">
        <f t="shared" ref="O28:O41" si="17">P28*K28</f>
        <v>0</v>
      </c>
      <c r="P28" s="35">
        <f t="array" ref="P28">INDEX($B$111:$AF$131,MATCH($B28,$B$111:$B$131,0),COLUMN($AA$111))</f>
        <v>50</v>
      </c>
      <c r="Q28" s="33">
        <f t="shared" ref="Q28:Q41" si="18">SUM(N28:O28)</f>
        <v>0</v>
      </c>
      <c r="R28" s="23"/>
      <c r="S28" s="307" t="s">
        <v>374</v>
      </c>
      <c r="T28" s="306" cm="1">
        <f t="array" ref="T28">SUMPRODUCT((B27:B41="石油焦")*1,J27:J41)</f>
        <v>0</v>
      </c>
      <c r="U28" s="62">
        <v>5</v>
      </c>
      <c r="V28" s="62">
        <v>0</v>
      </c>
      <c r="W28" s="25"/>
      <c r="X28" s="23"/>
      <c r="Y28" s="23"/>
      <c r="Z28" s="94" t="s">
        <v>106</v>
      </c>
      <c r="AA28" s="95" t="s">
        <v>69</v>
      </c>
      <c r="AB28" s="96"/>
      <c r="AC28" s="96"/>
      <c r="AD28" s="96"/>
      <c r="AE28" s="96">
        <f>I93</f>
        <v>0</v>
      </c>
      <c r="AF28" s="96">
        <f t="shared" si="12"/>
        <v>0</v>
      </c>
      <c r="AG28" s="23"/>
      <c r="AH28" s="23"/>
      <c r="AI28" s="23"/>
      <c r="AJ28" s="4"/>
      <c r="AK28" s="4"/>
      <c r="AL28" s="13"/>
    </row>
    <row r="29" spans="1:38" ht="17.649999999999999" thickTop="1" thickBot="1" x14ac:dyDescent="0.45">
      <c r="A29" s="263">
        <f>AP211</f>
        <v>38174.131480491713</v>
      </c>
      <c r="B29" s="15" t="str">
        <f>$B$114</f>
        <v>州景</v>
      </c>
      <c r="C29" s="16">
        <f t="shared" si="13"/>
        <v>0</v>
      </c>
      <c r="D29" s="17">
        <f t="array" ref="D29">INDEX($B$111:$Q$131,MATCH($B29,$B$111:$B$131,0),COLUMN($D$2))</f>
        <v>0</v>
      </c>
      <c r="E29" s="18">
        <f t="shared" si="15"/>
        <v>0</v>
      </c>
      <c r="F29" s="19">
        <f t="shared" si="14"/>
        <v>15.680999999999999</v>
      </c>
      <c r="G29" s="19">
        <f t="shared" si="14"/>
        <v>65.22</v>
      </c>
      <c r="H29" s="19">
        <f t="shared" si="14"/>
        <v>0.63</v>
      </c>
      <c r="I29" s="19">
        <f t="shared" si="14"/>
        <v>58.6</v>
      </c>
      <c r="J29" s="18">
        <f>IFERROR(K29/K42*100,)</f>
        <v>0</v>
      </c>
      <c r="K29" s="20">
        <v>0</v>
      </c>
      <c r="L29" s="18">
        <v>0</v>
      </c>
      <c r="M29" s="21">
        <v>0</v>
      </c>
      <c r="N29" s="18">
        <f t="shared" si="16"/>
        <v>0</v>
      </c>
      <c r="O29" s="18">
        <f t="shared" si="17"/>
        <v>0</v>
      </c>
      <c r="P29" s="22">
        <f t="array" ref="P29">INDEX($B$111:$AF$131,MATCH($B29,$B$111:$B$131,0),COLUMN($AA$111))</f>
        <v>35</v>
      </c>
      <c r="Q29" s="18">
        <f t="shared" si="18"/>
        <v>0</v>
      </c>
      <c r="R29" s="23"/>
      <c r="S29" s="308" t="s">
        <v>374</v>
      </c>
      <c r="T29" s="306" cm="1">
        <f t="array" ref="T29">SUMPRODUCT((B51:B65="石油焦")*1,J51:J65)</f>
        <v>0</v>
      </c>
      <c r="U29" s="62">
        <v>5</v>
      </c>
      <c r="V29" s="62">
        <v>0</v>
      </c>
      <c r="W29" s="25"/>
      <c r="X29" s="23"/>
      <c r="Y29" s="23"/>
      <c r="Z29" s="94" t="s">
        <v>108</v>
      </c>
      <c r="AA29" s="95" t="s">
        <v>69</v>
      </c>
      <c r="AB29" s="96">
        <f>E22</f>
        <v>0</v>
      </c>
      <c r="AC29" s="96">
        <f>E46</f>
        <v>0</v>
      </c>
      <c r="AD29" s="96">
        <f>E70</f>
        <v>0</v>
      </c>
      <c r="AE29" s="96">
        <f>E94</f>
        <v>0</v>
      </c>
      <c r="AF29" s="96">
        <f t="shared" si="12"/>
        <v>0</v>
      </c>
      <c r="AG29" s="23"/>
      <c r="AH29" s="23"/>
      <c r="AI29" s="23"/>
      <c r="AJ29" s="4"/>
      <c r="AK29" s="4"/>
      <c r="AL29" s="13"/>
    </row>
    <row r="30" spans="1:38" ht="17.649999999999999" thickTop="1" thickBot="1" x14ac:dyDescent="0.45">
      <c r="A30" s="101" t="s">
        <v>32</v>
      </c>
      <c r="B30" s="30" t="str">
        <f>$B$115</f>
        <v>那荷</v>
      </c>
      <c r="C30" s="31">
        <f t="shared" si="13"/>
        <v>0</v>
      </c>
      <c r="D30" s="32">
        <f t="array" ref="D30">INDEX($B$111:$Q$131,MATCH($B30,$B$111:$B$131,0),COLUMN($D$2))</f>
        <v>0</v>
      </c>
      <c r="E30" s="33">
        <f t="shared" si="15"/>
        <v>0</v>
      </c>
      <c r="F30" s="34">
        <f t="shared" si="14"/>
        <v>8.93</v>
      </c>
      <c r="G30" s="34">
        <f t="shared" si="14"/>
        <v>71.459999999999994</v>
      </c>
      <c r="H30" s="34">
        <f t="shared" si="14"/>
        <v>0.34</v>
      </c>
      <c r="I30" s="34">
        <f t="shared" si="14"/>
        <v>56.85</v>
      </c>
      <c r="J30" s="318">
        <f>IFERROR(K30/K42*100,)</f>
        <v>0</v>
      </c>
      <c r="K30" s="20">
        <v>0</v>
      </c>
      <c r="L30" s="33">
        <v>0</v>
      </c>
      <c r="M30" s="21">
        <v>0</v>
      </c>
      <c r="N30" s="33">
        <f t="shared" si="16"/>
        <v>0</v>
      </c>
      <c r="O30" s="33">
        <f t="shared" si="17"/>
        <v>0</v>
      </c>
      <c r="P30" s="35">
        <f t="array" ref="P30">INDEX($B$111:$AF$131,MATCH($B30,$B$111:$B$131,0),COLUMN($AA$111))</f>
        <v>50</v>
      </c>
      <c r="Q30" s="33">
        <f t="shared" si="18"/>
        <v>0</v>
      </c>
      <c r="R30" s="23"/>
      <c r="S30" s="309" t="s">
        <v>374</v>
      </c>
      <c r="T30" s="306" cm="1">
        <f t="array" ref="T30">SUMPRODUCT((B75:B89="石油焦")*1,J75:J89)</f>
        <v>0</v>
      </c>
      <c r="U30" s="62">
        <v>5</v>
      </c>
      <c r="V30" s="62">
        <v>0</v>
      </c>
      <c r="W30" s="25"/>
      <c r="X30" s="23"/>
      <c r="Y30" s="23"/>
      <c r="Z30" s="88" t="s">
        <v>110</v>
      </c>
      <c r="AA30" s="89" t="s">
        <v>69</v>
      </c>
      <c r="AB30" s="90">
        <f>I22</f>
        <v>5.0574932334409501</v>
      </c>
      <c r="AC30" s="90">
        <f>I46</f>
        <v>5.4688732977228725</v>
      </c>
      <c r="AD30" s="90">
        <f>I70</f>
        <v>0</v>
      </c>
      <c r="AE30" s="90">
        <f>I94</f>
        <v>0</v>
      </c>
      <c r="AF30" s="90">
        <f t="shared" si="12"/>
        <v>10.526366531163823</v>
      </c>
      <c r="AG30" s="23"/>
      <c r="AH30" s="23"/>
      <c r="AI30" s="23"/>
      <c r="AJ30" s="4"/>
      <c r="AK30" s="4"/>
      <c r="AL30" s="13"/>
    </row>
    <row r="31" spans="1:38" ht="17.649999999999999" thickTop="1" thickBot="1" x14ac:dyDescent="0.45">
      <c r="A31" s="102">
        <v>6.25848225141422</v>
      </c>
      <c r="B31" s="15" t="str">
        <f>$B$116</f>
        <v>褐煤2（云）长协</v>
      </c>
      <c r="C31" s="16">
        <f t="shared" si="13"/>
        <v>2400</v>
      </c>
      <c r="D31" s="17">
        <f t="array" ref="D31">INDEX($B$111:$Q$131,MATCH($B31,$B$111:$B$131,0),COLUMN($D$2))</f>
        <v>0.123</v>
      </c>
      <c r="E31" s="18">
        <f t="shared" si="15"/>
        <v>295.2</v>
      </c>
      <c r="F31" s="19">
        <f t="shared" si="14"/>
        <v>19.2</v>
      </c>
      <c r="G31" s="19">
        <f t="shared" si="14"/>
        <v>32.974564459930299</v>
      </c>
      <c r="H31" s="19">
        <f t="shared" si="14"/>
        <v>0.80500871080139402</v>
      </c>
      <c r="I31" s="19">
        <f t="shared" si="14"/>
        <v>28.483231707317099</v>
      </c>
      <c r="J31" s="18">
        <f>IFERROR(K31/K42*100,)</f>
        <v>35.95619720523873</v>
      </c>
      <c r="K31" s="20">
        <v>9</v>
      </c>
      <c r="L31" s="18">
        <f t="array" ref="L31">LOOKUP(1,0/($B$111:$B$131=$B31),$L$111:$L$131)</f>
        <v>9</v>
      </c>
      <c r="M31" s="21">
        <v>0</v>
      </c>
      <c r="N31" s="18">
        <f t="shared" si="16"/>
        <v>2656.7999999999997</v>
      </c>
      <c r="O31" s="18">
        <f t="shared" si="17"/>
        <v>0</v>
      </c>
      <c r="P31" s="22">
        <f t="array" ref="P31">INDEX($B$111:$AF$131,MATCH($B31,$B$111:$B$131,0),COLUMN($AA$111))</f>
        <v>0</v>
      </c>
      <c r="Q31" s="18">
        <f t="shared" si="18"/>
        <v>2656.7999999999997</v>
      </c>
      <c r="R31" s="23"/>
      <c r="S31" s="52" t="s">
        <v>8</v>
      </c>
      <c r="T31" s="55">
        <f>F18</f>
        <v>12.226835238014631</v>
      </c>
      <c r="U31" s="54">
        <f>IF(A5&gt;0,25,0)</f>
        <v>25</v>
      </c>
      <c r="V31" s="54">
        <v>0</v>
      </c>
      <c r="W31" s="55"/>
      <c r="X31" s="23"/>
      <c r="Y31" s="23"/>
      <c r="Z31" s="88" t="s">
        <v>111</v>
      </c>
      <c r="AA31" s="89" t="s">
        <v>69</v>
      </c>
      <c r="AB31" s="90">
        <f>I23</f>
        <v>6.9540531959813201</v>
      </c>
      <c r="AC31" s="90">
        <f>I47</f>
        <v>0.34370466438677966</v>
      </c>
      <c r="AD31" s="90">
        <f>I71</f>
        <v>0</v>
      </c>
      <c r="AE31" s="90">
        <f>I95</f>
        <v>0</v>
      </c>
      <c r="AF31" s="90">
        <f t="shared" si="12"/>
        <v>7.2977578603681001</v>
      </c>
      <c r="AG31" s="23"/>
      <c r="AH31" s="23"/>
      <c r="AI31" s="23"/>
      <c r="AJ31" s="4"/>
      <c r="AK31" s="4"/>
      <c r="AL31" s="13"/>
    </row>
    <row r="32" spans="1:38" ht="17.649999999999999" thickTop="1" thickBot="1" x14ac:dyDescent="0.45">
      <c r="A32" s="101" t="s">
        <v>35</v>
      </c>
      <c r="B32" s="30" t="str">
        <f>$B$117</f>
        <v>褐煤3（云）长协</v>
      </c>
      <c r="C32" s="31">
        <f t="shared" si="13"/>
        <v>3200</v>
      </c>
      <c r="D32" s="32">
        <f t="array" ref="D32">INDEX($B$111:$Q$131,MATCH($B32,$B$111:$B$131,0),COLUMN($D$2))</f>
        <v>0.13300000000000001</v>
      </c>
      <c r="E32" s="33">
        <f t="shared" si="15"/>
        <v>425.6</v>
      </c>
      <c r="F32" s="34">
        <f t="shared" si="14"/>
        <v>19.149999999999999</v>
      </c>
      <c r="G32" s="34">
        <f t="shared" si="14"/>
        <v>23.8738213399504</v>
      </c>
      <c r="H32" s="34">
        <f t="shared" si="14"/>
        <v>0.84706368899917295</v>
      </c>
      <c r="I32" s="34">
        <f t="shared" si="14"/>
        <v>30.5076674937965</v>
      </c>
      <c r="J32" s="318">
        <f>IFERROR(K32/K42*100,)</f>
        <v>11.98539906841291</v>
      </c>
      <c r="K32" s="20">
        <v>3</v>
      </c>
      <c r="L32" s="33">
        <f t="array" ref="L32">LOOKUP(1,0/($B$111:$B$131=$B32),$L$111:$L$131)</f>
        <v>3</v>
      </c>
      <c r="M32" s="21">
        <v>0</v>
      </c>
      <c r="N32" s="33">
        <f t="shared" si="16"/>
        <v>1276.8000000000002</v>
      </c>
      <c r="O32" s="33">
        <f t="shared" si="17"/>
        <v>0</v>
      </c>
      <c r="P32" s="35">
        <f t="array" ref="P32">INDEX($B$111:$AF$131,MATCH($B32,$B$111:$B$131,0),COLUMN($AA$111))</f>
        <v>0</v>
      </c>
      <c r="Q32" s="33">
        <f t="shared" si="18"/>
        <v>1276.8000000000002</v>
      </c>
      <c r="R32" s="23"/>
      <c r="S32" s="56" t="s">
        <v>8</v>
      </c>
      <c r="T32" s="55">
        <f>F42</f>
        <v>19.960147949205709</v>
      </c>
      <c r="U32" s="54">
        <f>IF(A29&gt;0,35,0)</f>
        <v>35</v>
      </c>
      <c r="V32" s="54">
        <v>0</v>
      </c>
      <c r="W32" s="55"/>
      <c r="X32" s="23"/>
      <c r="Y32" s="23"/>
      <c r="Z32" s="88" t="s">
        <v>112</v>
      </c>
      <c r="AA32" s="89" t="s">
        <v>69</v>
      </c>
      <c r="AB32" s="90">
        <f>I24</f>
        <v>1.6424066728457816</v>
      </c>
      <c r="AC32" s="90">
        <f>I48</f>
        <v>0.20041762163819649</v>
      </c>
      <c r="AD32" s="90">
        <f>I72</f>
        <v>0</v>
      </c>
      <c r="AE32" s="90"/>
      <c r="AF32" s="90">
        <f t="shared" si="12"/>
        <v>1.8428242944839781</v>
      </c>
      <c r="AG32" s="23"/>
      <c r="AH32" s="23"/>
      <c r="AI32" s="23"/>
      <c r="AJ32" s="4"/>
      <c r="AK32" s="4"/>
      <c r="AL32" s="13"/>
    </row>
    <row r="33" spans="1:38" ht="17.649999999999999" thickTop="1" thickBot="1" x14ac:dyDescent="0.45">
      <c r="A33" s="102">
        <f>AP204</f>
        <v>299.15583291477799</v>
      </c>
      <c r="B33" s="15" t="str">
        <f>$B$118</f>
        <v>褐煤3（云）</v>
      </c>
      <c r="C33" s="16">
        <f t="shared" si="13"/>
        <v>3200</v>
      </c>
      <c r="D33" s="17">
        <f t="array" ref="D33">INDEX($B$111:$Q$131,MATCH($B33,$B$111:$B$131,0),COLUMN($D$2))</f>
        <v>0.1333</v>
      </c>
      <c r="E33" s="18">
        <f t="shared" si="15"/>
        <v>426.56</v>
      </c>
      <c r="F33" s="19">
        <f t="shared" si="14"/>
        <v>19.149999999999999</v>
      </c>
      <c r="G33" s="19">
        <f t="shared" si="14"/>
        <v>23.8738213399504</v>
      </c>
      <c r="H33" s="19">
        <f t="shared" si="14"/>
        <v>0.84706368899917295</v>
      </c>
      <c r="I33" s="19">
        <f t="shared" si="14"/>
        <v>30.5076674937965</v>
      </c>
      <c r="J33" s="18">
        <f>IFERROR(K33/K42*100,)</f>
        <v>31.961064182434427</v>
      </c>
      <c r="K33" s="20">
        <v>8</v>
      </c>
      <c r="L33" s="18">
        <f t="array" ref="L33">LOOKUP(1,0/($B$111:$B$131=$B33),$L$111:$L$131)</f>
        <v>8</v>
      </c>
      <c r="M33" s="21">
        <v>0</v>
      </c>
      <c r="N33" s="18">
        <f t="shared" si="16"/>
        <v>3412.48</v>
      </c>
      <c r="O33" s="18">
        <f t="shared" si="17"/>
        <v>0</v>
      </c>
      <c r="P33" s="22">
        <f t="array" ref="P33">INDEX($B$111:$AF$131,MATCH($B33,$B$111:$B$131,0),COLUMN($AA$111))</f>
        <v>0</v>
      </c>
      <c r="Q33" s="18">
        <f t="shared" si="18"/>
        <v>3412.48</v>
      </c>
      <c r="R33" s="23"/>
      <c r="S33" s="57" t="s">
        <v>8</v>
      </c>
      <c r="T33" s="55">
        <f>F66</f>
        <v>0</v>
      </c>
      <c r="U33" s="54">
        <f>IF(A53&gt;0,30,0)</f>
        <v>0</v>
      </c>
      <c r="V33" s="54">
        <v>0</v>
      </c>
      <c r="W33" s="55"/>
      <c r="X33" s="23"/>
      <c r="Y33" s="23"/>
      <c r="Z33" s="88" t="s">
        <v>113</v>
      </c>
      <c r="AA33" s="89" t="s">
        <v>69</v>
      </c>
      <c r="AB33" s="90">
        <f>E26</f>
        <v>0</v>
      </c>
      <c r="AC33" s="90"/>
      <c r="AD33" s="90"/>
      <c r="AE33" s="90">
        <f>I96</f>
        <v>0</v>
      </c>
      <c r="AF33" s="90">
        <f t="shared" si="12"/>
        <v>0</v>
      </c>
      <c r="AG33" s="23"/>
      <c r="AH33" s="23"/>
      <c r="AI33" s="23"/>
      <c r="AJ33" s="4"/>
      <c r="AK33" s="4"/>
      <c r="AL33" s="13"/>
    </row>
    <row r="34" spans="1:38" ht="17.649999999999999" thickTop="1" thickBot="1" x14ac:dyDescent="0.45">
      <c r="A34" s="101" t="s">
        <v>37</v>
      </c>
      <c r="B34" s="30" t="str">
        <f>$B$119</f>
        <v>褐煤32（港1）</v>
      </c>
      <c r="C34" s="31">
        <f t="shared" si="13"/>
        <v>3200</v>
      </c>
      <c r="D34" s="32">
        <f t="array" ref="D34">INDEX($B$111:$Q$131,MATCH($B34,$B$111:$B$131,0),COLUMN($D$2))</f>
        <v>0.17035</v>
      </c>
      <c r="E34" s="33">
        <f t="shared" si="15"/>
        <v>545.12</v>
      </c>
      <c r="F34" s="34">
        <f t="shared" si="14"/>
        <v>32.112708935028316</v>
      </c>
      <c r="G34" s="34">
        <f t="shared" si="14"/>
        <v>19.443642689832394</v>
      </c>
      <c r="H34" s="34">
        <f t="shared" si="14"/>
        <v>0.77574029122504196</v>
      </c>
      <c r="I34" s="34">
        <f t="shared" si="14"/>
        <v>24.82919018488618</v>
      </c>
      <c r="J34" s="318">
        <f>IFERROR(K34/K42*100,)</f>
        <v>0</v>
      </c>
      <c r="K34" s="20">
        <v>0</v>
      </c>
      <c r="L34" s="33">
        <f t="array" ref="L34">LOOKUP(1,0/($B$111:$B$131=$B34),$L$111:$L$131)</f>
        <v>100</v>
      </c>
      <c r="M34" s="21">
        <v>0</v>
      </c>
      <c r="N34" s="33">
        <f t="shared" si="16"/>
        <v>0</v>
      </c>
      <c r="O34" s="33">
        <f t="shared" si="17"/>
        <v>0</v>
      </c>
      <c r="P34" s="35">
        <f t="array" ref="P34">INDEX($B$111:$AF$131,MATCH($B34,$B$111:$B$131,0),COLUMN($AA$111))</f>
        <v>100.32</v>
      </c>
      <c r="Q34" s="33">
        <f t="shared" si="18"/>
        <v>0</v>
      </c>
      <c r="R34" s="23"/>
      <c r="S34" s="59" t="s">
        <v>8</v>
      </c>
      <c r="T34" s="55">
        <f>F90</f>
        <v>0</v>
      </c>
      <c r="U34" s="54">
        <f>IF(A77&gt;0,20,0)</f>
        <v>0</v>
      </c>
      <c r="V34" s="54">
        <v>0</v>
      </c>
      <c r="W34" s="55"/>
      <c r="X34" s="23"/>
      <c r="Y34" s="23"/>
      <c r="Z34" s="94" t="s">
        <v>114</v>
      </c>
      <c r="AA34" s="95" t="s">
        <v>69</v>
      </c>
      <c r="AB34" s="96">
        <f>I25</f>
        <v>1.3584836003687195</v>
      </c>
      <c r="AC34" s="96">
        <f>I49</f>
        <v>0.28711539588817464</v>
      </c>
      <c r="AD34" s="96">
        <f>I73</f>
        <v>0</v>
      </c>
      <c r="AE34" s="96"/>
      <c r="AF34" s="96">
        <f t="shared" si="12"/>
        <v>1.6455989962568942</v>
      </c>
      <c r="AG34" s="23"/>
      <c r="AH34" s="23"/>
      <c r="AI34" s="23"/>
      <c r="AJ34" s="4"/>
      <c r="AK34" s="4"/>
      <c r="AL34" s="13"/>
    </row>
    <row r="35" spans="1:38" ht="17.649999999999999" thickTop="1" thickBot="1" x14ac:dyDescent="0.45">
      <c r="A35" s="102">
        <f>(SUMIF($B$27:$B$41,$B$112,$K$27:$K$41)+SUMIF($B$27:$B$41,$B$113,$K$27:$K$41)+SUMIF($B$27:$B$41,$B$114,$K$27:$K$41)+SUMIF($B$27:$B$41,$B$115,$K$27:$K$41))/$K$42*100</f>
        <v>0</v>
      </c>
      <c r="B35" s="15" t="str">
        <f>$B$120</f>
        <v>褐煤35（港2）</v>
      </c>
      <c r="C35" s="16">
        <f t="shared" si="13"/>
        <v>3500</v>
      </c>
      <c r="D35" s="17">
        <f t="array" ref="D35">INDEX($B$111:$Q$131,MATCH($B35,$B$111:$B$131,0),COLUMN($D$2))</f>
        <v>0.17456285714285713</v>
      </c>
      <c r="E35" s="18">
        <f t="shared" si="15"/>
        <v>610.96999999999991</v>
      </c>
      <c r="F35" s="19">
        <f t="shared" si="14"/>
        <v>29.814058639384577</v>
      </c>
      <c r="G35" s="19">
        <f t="shared" si="14"/>
        <v>17.717185625549313</v>
      </c>
      <c r="H35" s="19">
        <f t="shared" si="14"/>
        <v>0.78167601374394924</v>
      </c>
      <c r="I35" s="19">
        <f t="shared" si="14"/>
        <v>26.875930557064283</v>
      </c>
      <c r="J35" s="18">
        <f>IFERROR(K35/K42*100,)</f>
        <v>0</v>
      </c>
      <c r="K35" s="20">
        <v>0</v>
      </c>
      <c r="L35" s="18">
        <f t="array" ref="L35">LOOKUP(1,0/($B$111:$B$131=$B35),$L$111:$L$131)</f>
        <v>100</v>
      </c>
      <c r="M35" s="21">
        <v>0</v>
      </c>
      <c r="N35" s="18">
        <f t="shared" si="16"/>
        <v>0</v>
      </c>
      <c r="O35" s="18">
        <f t="shared" si="17"/>
        <v>0</v>
      </c>
      <c r="P35" s="22">
        <f t="array" ref="P35">INDEX($B$111:$AF$131,MATCH($B35,$B$111:$B$131,0),COLUMN($AA$111))</f>
        <v>100.32</v>
      </c>
      <c r="Q35" s="18">
        <f t="shared" si="18"/>
        <v>0</v>
      </c>
      <c r="R35" s="23"/>
      <c r="S35" s="24"/>
      <c r="T35" s="25">
        <v>0</v>
      </c>
      <c r="U35" s="62">
        <v>0</v>
      </c>
      <c r="V35" s="62">
        <v>0</v>
      </c>
      <c r="W35" s="25"/>
      <c r="X35" s="23"/>
      <c r="Y35" s="23"/>
      <c r="Z35" s="94" t="s">
        <v>115</v>
      </c>
      <c r="AA35" s="95" t="s">
        <v>69</v>
      </c>
      <c r="AB35" s="96">
        <f>I26</f>
        <v>0</v>
      </c>
      <c r="AC35" s="96">
        <f>I50</f>
        <v>2.8516892417822157E-2</v>
      </c>
      <c r="AD35" s="96">
        <f>I74</f>
        <v>0</v>
      </c>
      <c r="AE35" s="96">
        <f>I98</f>
        <v>0</v>
      </c>
      <c r="AF35" s="96">
        <f t="shared" si="12"/>
        <v>2.8516892417822157E-2</v>
      </c>
      <c r="AG35" s="23"/>
      <c r="AH35" s="23"/>
      <c r="AI35" s="23"/>
      <c r="AJ35" s="4"/>
      <c r="AK35" s="4"/>
      <c r="AL35" s="13"/>
    </row>
    <row r="36" spans="1:38" ht="17.649999999999999" thickTop="1" thickBot="1" x14ac:dyDescent="0.45">
      <c r="A36" s="102" t="s">
        <v>0</v>
      </c>
      <c r="B36" s="30" t="str">
        <f>$B$121</f>
        <v>褐煤38（港3）</v>
      </c>
      <c r="C36" s="31">
        <f t="shared" si="13"/>
        <v>3800</v>
      </c>
      <c r="D36" s="32">
        <f t="array" ref="D36">INDEX($B$111:$Q$131,MATCH($B36,$B$111:$B$131,0),COLUMN($D$2))</f>
        <v>0.17070000000000002</v>
      </c>
      <c r="E36" s="33">
        <f t="shared" si="15"/>
        <v>648.66000000000008</v>
      </c>
      <c r="F36" s="34">
        <f t="shared" si="14"/>
        <v>34.679691189371134</v>
      </c>
      <c r="G36" s="34">
        <f t="shared" si="14"/>
        <v>8.6727633353557447</v>
      </c>
      <c r="H36" s="34">
        <f t="shared" si="14"/>
        <v>0.82970573383298385</v>
      </c>
      <c r="I36" s="34">
        <f t="shared" si="14"/>
        <v>28.63870628789606</v>
      </c>
      <c r="J36" s="318">
        <f>IFERROR(K36/K42*100,)</f>
        <v>0</v>
      </c>
      <c r="K36" s="20">
        <v>0</v>
      </c>
      <c r="L36" s="33">
        <f t="array" ref="L36">LOOKUP(1,0/($B$111:$B$131=$B36),$L$111:$L$131)</f>
        <v>100</v>
      </c>
      <c r="M36" s="21">
        <v>0</v>
      </c>
      <c r="N36" s="33">
        <f t="shared" si="16"/>
        <v>0</v>
      </c>
      <c r="O36" s="33">
        <f t="shared" si="17"/>
        <v>0</v>
      </c>
      <c r="P36" s="35">
        <f t="array" ref="P36">INDEX($B$111:$AF$131,MATCH($B36,$B$111:$B$131,0),COLUMN($AA$111))</f>
        <v>100.32</v>
      </c>
      <c r="Q36" s="33">
        <f t="shared" si="18"/>
        <v>0</v>
      </c>
      <c r="R36" s="23"/>
      <c r="S36" s="36"/>
      <c r="T36" s="25">
        <v>0</v>
      </c>
      <c r="U36" s="62">
        <v>0</v>
      </c>
      <c r="V36" s="62">
        <v>0</v>
      </c>
      <c r="W36" s="25"/>
      <c r="X36" s="23"/>
      <c r="Y36" s="23"/>
      <c r="Z36" s="94" t="s">
        <v>116</v>
      </c>
      <c r="AA36" s="95" t="s">
        <v>69</v>
      </c>
      <c r="AB36" s="96"/>
      <c r="AC36" s="96"/>
      <c r="AD36" s="96"/>
      <c r="AE36" s="96">
        <f>I97</f>
        <v>0</v>
      </c>
      <c r="AF36" s="96">
        <f t="shared" si="12"/>
        <v>0</v>
      </c>
      <c r="AG36" s="23"/>
      <c r="AH36" s="23"/>
      <c r="AI36" s="23"/>
      <c r="AJ36" s="4"/>
      <c r="AK36" s="4"/>
      <c r="AL36" s="13"/>
    </row>
    <row r="37" spans="1:38" ht="17.649999999999999" thickTop="1" thickBot="1" x14ac:dyDescent="0.45">
      <c r="A37" s="61">
        <f>C106</f>
        <v>4396.9912409313729</v>
      </c>
      <c r="B37" s="15" t="str">
        <f>$B$122</f>
        <v>褐煤46</v>
      </c>
      <c r="C37" s="16">
        <f t="shared" si="13"/>
        <v>4600</v>
      </c>
      <c r="D37" s="17">
        <f t="array" ref="D37">INDEX($B$111:$Q$131,MATCH($B37,$B$111:$B$131,0),COLUMN($D$2))</f>
        <v>0.16250869565217391</v>
      </c>
      <c r="E37" s="18">
        <f t="shared" si="15"/>
        <v>747.54</v>
      </c>
      <c r="F37" s="19">
        <f t="shared" si="14"/>
        <v>23.091665258091258</v>
      </c>
      <c r="G37" s="19">
        <f t="shared" si="14"/>
        <v>10.878752304026914</v>
      </c>
      <c r="H37" s="19">
        <f t="shared" si="14"/>
        <v>0.20812534188160234</v>
      </c>
      <c r="I37" s="19">
        <f t="shared" si="14"/>
        <v>32.849464801712827</v>
      </c>
      <c r="J37" s="18">
        <f>IFERROR(K37/K42*100,)</f>
        <v>20.097339543913925</v>
      </c>
      <c r="K37" s="20">
        <v>5.0304556642289224</v>
      </c>
      <c r="L37" s="18">
        <f t="array" ref="L37">LOOKUP(1,0/($B$111:$B$131=$B37),$L$111:$L$131)</f>
        <v>100</v>
      </c>
      <c r="M37" s="21">
        <v>0</v>
      </c>
      <c r="N37" s="18">
        <f t="shared" si="16"/>
        <v>3255.8115150022427</v>
      </c>
      <c r="O37" s="18">
        <f t="shared" si="17"/>
        <v>504.65531223544548</v>
      </c>
      <c r="P37" s="22">
        <f t="array" ref="P37">INDEX($B$111:$AF$131,MATCH($B37,$B$111:$B$131,0),COLUMN($AA$111))</f>
        <v>100.32</v>
      </c>
      <c r="Q37" s="18">
        <f t="shared" si="18"/>
        <v>3760.466827237688</v>
      </c>
      <c r="R37" s="23"/>
      <c r="S37" s="43"/>
      <c r="T37" s="25">
        <v>0</v>
      </c>
      <c r="U37" s="62">
        <v>0</v>
      </c>
      <c r="V37" s="62">
        <v>0</v>
      </c>
      <c r="W37" s="25"/>
      <c r="X37" s="23"/>
      <c r="Y37" s="23"/>
      <c r="Z37" s="88" t="s">
        <v>117</v>
      </c>
      <c r="AA37" s="89" t="s">
        <v>118</v>
      </c>
      <c r="AB37" s="90">
        <f>K19</f>
        <v>-20</v>
      </c>
      <c r="AC37" s="90">
        <f>K43</f>
        <v>-45</v>
      </c>
      <c r="AD37" s="90">
        <f>K67</f>
        <v>-20</v>
      </c>
      <c r="AE37" s="90">
        <f>K91</f>
        <v>20</v>
      </c>
      <c r="AF37" s="90"/>
      <c r="AG37" s="23"/>
      <c r="AH37" s="23"/>
      <c r="AI37" s="23"/>
      <c r="AJ37" s="4"/>
      <c r="AK37" s="4"/>
      <c r="AL37" s="13"/>
    </row>
    <row r="38" spans="1:38" ht="17.649999999999999" thickTop="1" thickBot="1" x14ac:dyDescent="0.45">
      <c r="A38" s="102" t="s">
        <v>39</v>
      </c>
      <c r="B38" s="30" t="str">
        <f>$B$123</f>
        <v>烟煤55</v>
      </c>
      <c r="C38" s="31">
        <f t="shared" si="13"/>
        <v>5500</v>
      </c>
      <c r="D38" s="32">
        <f t="array" ref="D38">INDEX($B$111:$Q$131,MATCH($B38,$B$111:$B$131,0),COLUMN($D$2))</f>
        <v>0.16724</v>
      </c>
      <c r="E38" s="33">
        <f t="shared" si="15"/>
        <v>919.82</v>
      </c>
      <c r="F38" s="34">
        <f t="shared" si="14"/>
        <v>10.316450637788327</v>
      </c>
      <c r="G38" s="34">
        <f t="shared" si="14"/>
        <v>19.875802288647424</v>
      </c>
      <c r="H38" s="34">
        <f t="shared" si="14"/>
        <v>0.4766377671249582</v>
      </c>
      <c r="I38" s="34">
        <f t="shared" si="14"/>
        <v>25.313893426650807</v>
      </c>
      <c r="J38" s="318">
        <f>IFERROR(K38/K42*100,)</f>
        <v>0</v>
      </c>
      <c r="K38" s="20">
        <v>0</v>
      </c>
      <c r="L38" s="33">
        <f t="array" ref="L38">LOOKUP(1,0/($B$111:$B$131=$B38),$L$111:$L$131)</f>
        <v>100</v>
      </c>
      <c r="M38" s="21">
        <v>0</v>
      </c>
      <c r="N38" s="33">
        <f t="shared" si="16"/>
        <v>0</v>
      </c>
      <c r="O38" s="33">
        <f t="shared" si="17"/>
        <v>0</v>
      </c>
      <c r="P38" s="35">
        <f t="array" ref="P38">INDEX($B$111:$AF$131,MATCH($B38,$B$111:$B$131,0),COLUMN($AA$111))</f>
        <v>100.32</v>
      </c>
      <c r="Q38" s="33">
        <f t="shared" si="18"/>
        <v>0</v>
      </c>
      <c r="R38" s="23"/>
      <c r="S38" s="45"/>
      <c r="T38" s="25">
        <v>0</v>
      </c>
      <c r="U38" s="62">
        <v>0</v>
      </c>
      <c r="V38" s="62">
        <v>0</v>
      </c>
      <c r="W38" s="25"/>
      <c r="X38" s="23"/>
      <c r="Y38" s="23"/>
      <c r="Z38" s="88" t="s">
        <v>119</v>
      </c>
      <c r="AA38" s="89" t="s">
        <v>118</v>
      </c>
      <c r="AB38" s="90">
        <f t="shared" ref="AB38:AB39" si="19">K20</f>
        <v>-8</v>
      </c>
      <c r="AC38" s="90">
        <f t="shared" ref="AC38:AC39" si="20">K44</f>
        <v>-20</v>
      </c>
      <c r="AD38" s="90">
        <f t="shared" ref="AD38:AD39" si="21">K68</f>
        <v>-8</v>
      </c>
      <c r="AE38" s="90">
        <f t="shared" ref="AE38" si="22">K92</f>
        <v>0</v>
      </c>
      <c r="AF38" s="90"/>
      <c r="AG38" s="23"/>
      <c r="AH38" s="23"/>
      <c r="AI38" s="23"/>
      <c r="AJ38" s="4"/>
      <c r="AK38" s="4"/>
      <c r="AL38" s="13"/>
    </row>
    <row r="39" spans="1:38" ht="17.649999999999999" thickTop="1" thickBot="1" x14ac:dyDescent="0.45">
      <c r="A39" s="102">
        <f>AP205*100</f>
        <v>92.821233242288201</v>
      </c>
      <c r="B39" s="15" t="str">
        <f>$B$124</f>
        <v>烟煤50备</v>
      </c>
      <c r="C39" s="16">
        <f t="shared" si="13"/>
        <v>5000</v>
      </c>
      <c r="D39" s="17">
        <f t="array" ref="D39">INDEX($B$111:$Q$131,MATCH($B39,$B$111:$B$131,0),COLUMN($D$2))</f>
        <v>0</v>
      </c>
      <c r="E39" s="18">
        <f t="shared" si="15"/>
        <v>0</v>
      </c>
      <c r="F39" s="19">
        <f t="shared" si="14"/>
        <v>0</v>
      </c>
      <c r="G39" s="19">
        <f t="shared" si="14"/>
        <v>0</v>
      </c>
      <c r="H39" s="19">
        <f t="shared" si="14"/>
        <v>0</v>
      </c>
      <c r="I39" s="19">
        <f t="shared" si="14"/>
        <v>0</v>
      </c>
      <c r="J39" s="18">
        <f>IFERROR(K39/K42*100,)</f>
        <v>0</v>
      </c>
      <c r="K39" s="20">
        <v>0</v>
      </c>
      <c r="L39" s="18">
        <f t="array" ref="L39">LOOKUP(1,0/($B$111:$B$131=$B39),$L$111:$L$131)</f>
        <v>0</v>
      </c>
      <c r="M39" s="21">
        <v>0</v>
      </c>
      <c r="N39" s="18">
        <f t="shared" si="16"/>
        <v>0</v>
      </c>
      <c r="O39" s="18">
        <f t="shared" si="17"/>
        <v>0</v>
      </c>
      <c r="P39" s="22">
        <f t="array" ref="P39">INDEX($B$111:$AF$131,MATCH($B39,$B$111:$B$131,0),COLUMN($AA$111))</f>
        <v>0</v>
      </c>
      <c r="Q39" s="18">
        <f t="shared" si="18"/>
        <v>0</v>
      </c>
      <c r="R39" s="23"/>
      <c r="S39" s="59"/>
      <c r="T39" s="55">
        <v>0</v>
      </c>
      <c r="U39" s="62">
        <v>0</v>
      </c>
      <c r="V39" s="62">
        <v>0</v>
      </c>
      <c r="W39" s="55"/>
      <c r="X39" s="23"/>
      <c r="Y39" s="23"/>
      <c r="Z39" s="88" t="s">
        <v>120</v>
      </c>
      <c r="AA39" s="89" t="s">
        <v>118</v>
      </c>
      <c r="AB39" s="90">
        <f t="shared" si="19"/>
        <v>-5</v>
      </c>
      <c r="AC39" s="90">
        <f t="shared" si="20"/>
        <v>-30</v>
      </c>
      <c r="AD39" s="90">
        <f t="shared" si="21"/>
        <v>-5</v>
      </c>
      <c r="AE39" s="90"/>
      <c r="AF39" s="90"/>
      <c r="AG39" s="23"/>
      <c r="AH39" s="23"/>
      <c r="AI39" s="23"/>
      <c r="AJ39" s="4"/>
      <c r="AK39" s="4"/>
      <c r="AL39" s="13"/>
    </row>
    <row r="40" spans="1:38" ht="17.649999999999999" thickTop="1" thickBot="1" x14ac:dyDescent="0.45">
      <c r="A40" s="102" t="s">
        <v>42</v>
      </c>
      <c r="B40" s="30" t="str">
        <f>$B$125</f>
        <v>烟煤55备</v>
      </c>
      <c r="C40" s="31">
        <f t="shared" si="13"/>
        <v>5500</v>
      </c>
      <c r="D40" s="32">
        <f t="array" ref="D40">INDEX($B$111:$Q$131,MATCH($B40,$B$111:$B$131,0),COLUMN($D$2))</f>
        <v>0</v>
      </c>
      <c r="E40" s="33">
        <f t="shared" si="15"/>
        <v>0</v>
      </c>
      <c r="F40" s="34">
        <f t="shared" si="14"/>
        <v>0</v>
      </c>
      <c r="G40" s="34">
        <f t="shared" si="14"/>
        <v>0</v>
      </c>
      <c r="H40" s="34">
        <f t="shared" si="14"/>
        <v>0</v>
      </c>
      <c r="I40" s="34">
        <f t="shared" si="14"/>
        <v>0</v>
      </c>
      <c r="J40" s="318">
        <f>IFERROR(K40/K42*100,)</f>
        <v>0</v>
      </c>
      <c r="K40" s="20">
        <v>0</v>
      </c>
      <c r="L40" s="33">
        <f t="array" ref="L40">LOOKUP(1,0/($B$111:$B$131=$B40),$L$111:$L$131)</f>
        <v>0</v>
      </c>
      <c r="M40" s="21">
        <v>0</v>
      </c>
      <c r="N40" s="33">
        <f t="shared" si="16"/>
        <v>0</v>
      </c>
      <c r="O40" s="33">
        <f t="shared" si="17"/>
        <v>0</v>
      </c>
      <c r="P40" s="35">
        <f t="array" ref="P40">INDEX($B$111:$AF$131,MATCH($B40,$B$111:$B$131,0),COLUMN($AA$111))</f>
        <v>0</v>
      </c>
      <c r="Q40" s="33">
        <f t="shared" si="18"/>
        <v>0</v>
      </c>
      <c r="R40" s="23"/>
      <c r="S40" s="59"/>
      <c r="T40" s="55">
        <v>0</v>
      </c>
      <c r="U40" s="62">
        <v>0</v>
      </c>
      <c r="V40" s="62">
        <v>0</v>
      </c>
      <c r="W40" s="55"/>
      <c r="X40" s="23"/>
      <c r="Y40" s="23"/>
      <c r="Z40" s="88" t="s">
        <v>121</v>
      </c>
      <c r="AA40" s="89" t="s">
        <v>118</v>
      </c>
      <c r="AB40" s="90"/>
      <c r="AC40" s="90"/>
      <c r="AD40" s="90"/>
      <c r="AE40" s="90">
        <f>K93</f>
        <v>600</v>
      </c>
      <c r="AF40" s="90"/>
      <c r="AG40" s="23"/>
      <c r="AH40" s="23"/>
      <c r="AI40" s="23"/>
      <c r="AJ40" s="4"/>
      <c r="AK40" s="4"/>
      <c r="AL40" s="13"/>
    </row>
    <row r="41" spans="1:38" ht="17.649999999999999" thickTop="1" thickBot="1" x14ac:dyDescent="0.45">
      <c r="A41" s="102">
        <f>AP206</f>
        <v>8040.4806191053567</v>
      </c>
      <c r="B41" s="15" t="str">
        <f>$B$127</f>
        <v>石油焦</v>
      </c>
      <c r="C41" s="16">
        <f t="shared" si="13"/>
        <v>7256.4478151694502</v>
      </c>
      <c r="D41" s="17">
        <f t="array" ref="D41">INDEX($B$111:$Q$131,MATCH($B41,$B$111:$B$131,0),COLUMN($D$2))</f>
        <v>0</v>
      </c>
      <c r="E41" s="18">
        <f t="shared" si="15"/>
        <v>0</v>
      </c>
      <c r="F41" s="19">
        <f t="shared" si="14"/>
        <v>0</v>
      </c>
      <c r="G41" s="19">
        <f t="shared" si="14"/>
        <v>0</v>
      </c>
      <c r="H41" s="19">
        <f t="shared" si="14"/>
        <v>0</v>
      </c>
      <c r="I41" s="19">
        <f t="shared" si="14"/>
        <v>0</v>
      </c>
      <c r="J41" s="18">
        <f>IFERROR(K41/K42*100,)</f>
        <v>0</v>
      </c>
      <c r="K41" s="20">
        <v>0</v>
      </c>
      <c r="L41" s="18">
        <f t="array" ref="L41">LOOKUP(1,0/($B$111:$B$131=$B41),$L$111:$L$131)</f>
        <v>0</v>
      </c>
      <c r="M41" s="21">
        <v>0</v>
      </c>
      <c r="N41" s="18">
        <f t="shared" si="16"/>
        <v>0</v>
      </c>
      <c r="O41" s="18">
        <f t="shared" si="17"/>
        <v>0</v>
      </c>
      <c r="P41" s="22">
        <f t="array" ref="P41">INDEX($B$111:$AF$131,MATCH($B41,$B$111:$B$131,0),COLUMN($AA$111))</f>
        <v>0</v>
      </c>
      <c r="Q41" s="18">
        <f t="shared" si="18"/>
        <v>0</v>
      </c>
      <c r="R41" s="23"/>
      <c r="S41" s="59"/>
      <c r="T41" s="55">
        <v>0</v>
      </c>
      <c r="U41" s="62">
        <v>0</v>
      </c>
      <c r="V41" s="62">
        <v>0</v>
      </c>
      <c r="W41" s="55"/>
      <c r="X41" s="23"/>
      <c r="Y41" s="23"/>
      <c r="Z41" s="88" t="s">
        <v>122</v>
      </c>
      <c r="AA41" s="89" t="s">
        <v>118</v>
      </c>
      <c r="AB41" s="90">
        <f>E23</f>
        <v>168</v>
      </c>
      <c r="AC41" s="90">
        <f>E47</f>
        <v>168</v>
      </c>
      <c r="AD41" s="90">
        <f>E71</f>
        <v>168</v>
      </c>
      <c r="AE41" s="90">
        <f>E95</f>
        <v>168</v>
      </c>
      <c r="AF41" s="90"/>
      <c r="AG41" s="23"/>
      <c r="AH41" s="23"/>
      <c r="AI41" s="23"/>
      <c r="AJ41" s="4"/>
      <c r="AK41" s="4"/>
      <c r="AL41" s="13"/>
    </row>
    <row r="42" spans="1:38" ht="16.899999999999999" thickTop="1" thickBot="1" x14ac:dyDescent="0.45">
      <c r="A42" s="100"/>
      <c r="B42" s="63" t="s">
        <v>44</v>
      </c>
      <c r="C42" s="64">
        <f>IFERROR(SUMPRODUCT(C27:C41,K27:K41)/SUM(K27:K41),)</f>
        <v>3193.713175972885</v>
      </c>
      <c r="D42" s="65">
        <f>IFERROR(SUMPRODUCT(C27:C41,D27:D41,K27:K41)/SUMPRODUCT(C27:C41,K27:K41),)</f>
        <v>0.13893587042393934</v>
      </c>
      <c r="E42" s="64">
        <f>IFERROR(SUMPRODUCT(C27:C41,E27:E41,K27:K41)/SUMPRODUCT(C27:C41,K27:K41),)</f>
        <v>483.86435986343594</v>
      </c>
      <c r="F42" s="64">
        <f>IFERROR(SUMPRODUCT(F27:F41,K27:K41)/SUM(K27:K41),)</f>
        <v>19.960147949205709</v>
      </c>
      <c r="G42" s="64">
        <f>IFERROR(SUMPRODUCT(G27:G41,K27:K41)/SUM(K27:K41),)</f>
        <v>24.534439335197003</v>
      </c>
      <c r="H42" s="64">
        <f>IFERROR(SUMPRODUCT(H27:H41,K27:K41)/SUM(K27:K41),)</f>
        <v>0.70353270900726972</v>
      </c>
      <c r="I42" s="64">
        <f>IFERROR(SUMPRODUCT(I27:I41,K27:K41)/SUM(K27:K41),)</f>
        <v>30.250396326518718</v>
      </c>
      <c r="J42" s="64">
        <f>IFERROR(SUM(J27:J41),)</f>
        <v>100</v>
      </c>
      <c r="K42" s="64">
        <f>IFERROR(SUM(K27:K41),)</f>
        <v>25.030455664228924</v>
      </c>
      <c r="L42" s="64">
        <f t="shared" ref="L42" si="23">SUM(L27:L41)</f>
        <v>520</v>
      </c>
      <c r="M42" s="64">
        <f t="shared" ref="M42:O42" si="24">SUM(M27:M41)</f>
        <v>0</v>
      </c>
      <c r="N42" s="64">
        <f t="shared" si="24"/>
        <v>10601.891515002242</v>
      </c>
      <c r="O42" s="64">
        <f t="shared" si="24"/>
        <v>504.65531223544548</v>
      </c>
      <c r="P42" s="64">
        <f>IFERROR(SUMPRODUCT(P27:P41,K27:K41)/SUM(K27:K41),)</f>
        <v>20.161651030454447</v>
      </c>
      <c r="Q42" s="64">
        <f>SUM(Q27:Q41)</f>
        <v>11106.546827237687</v>
      </c>
      <c r="R42" s="64">
        <f>SUM(R27:R41)</f>
        <v>0</v>
      </c>
      <c r="S42" s="59"/>
      <c r="T42" s="55">
        <v>0</v>
      </c>
      <c r="U42" s="62">
        <v>0</v>
      </c>
      <c r="V42" s="62">
        <v>0</v>
      </c>
      <c r="W42" s="55"/>
      <c r="X42" s="23"/>
      <c r="Y42" s="23"/>
      <c r="Z42" s="94" t="s">
        <v>123</v>
      </c>
      <c r="AA42" s="95" t="s">
        <v>118</v>
      </c>
      <c r="AB42" s="96">
        <f>K22</f>
        <v>7.9</v>
      </c>
      <c r="AC42" s="96">
        <f>K46</f>
        <v>30.92</v>
      </c>
      <c r="AD42" s="96">
        <f>K70</f>
        <v>7.9</v>
      </c>
      <c r="AE42" s="96">
        <f>K94</f>
        <v>0.9</v>
      </c>
      <c r="AF42" s="96"/>
      <c r="AG42" s="23"/>
      <c r="AH42" s="23"/>
      <c r="AI42" s="23"/>
      <c r="AJ42" s="4"/>
      <c r="AK42" s="4"/>
      <c r="AL42" s="13"/>
    </row>
    <row r="43" spans="1:38" ht="16.899999999999999" thickTop="1" thickBot="1" x14ac:dyDescent="0.45">
      <c r="A43" s="101"/>
      <c r="B43" s="66" t="s">
        <v>45</v>
      </c>
      <c r="C43" s="67">
        <f>U$47</f>
        <v>90</v>
      </c>
      <c r="D43" s="68" t="s">
        <v>46</v>
      </c>
      <c r="E43" s="69">
        <f>$K42*$G42/100*C43/100</f>
        <v>5.5269737642372654</v>
      </c>
      <c r="F43" s="70" t="s">
        <v>47</v>
      </c>
      <c r="G43" s="71">
        <f>U$51</f>
        <v>25.788412461223398</v>
      </c>
      <c r="H43" s="72" t="s">
        <v>48</v>
      </c>
      <c r="I43" s="69">
        <f>E43*G43/100</f>
        <v>1.4253187909451108</v>
      </c>
      <c r="J43" s="68" t="s">
        <v>49</v>
      </c>
      <c r="K43" s="74">
        <f>U$54</f>
        <v>-45</v>
      </c>
      <c r="L43" s="66" t="s">
        <v>50</v>
      </c>
      <c r="M43" s="69">
        <f t="shared" ref="M43:M50" si="25">I43*K43</f>
        <v>-64.139345592529992</v>
      </c>
      <c r="N43" s="68" t="s">
        <v>51</v>
      </c>
      <c r="O43" s="75">
        <v>13</v>
      </c>
      <c r="P43" s="68" t="s">
        <v>52</v>
      </c>
      <c r="Q43" s="69">
        <f>M43/(1+O43/100)</f>
        <v>-56.760482825247784</v>
      </c>
      <c r="R43" s="23"/>
      <c r="S43" s="23"/>
      <c r="T43" s="23"/>
      <c r="U43" s="23"/>
      <c r="V43" s="23"/>
      <c r="W43" s="23"/>
      <c r="X43" s="23"/>
      <c r="Y43" s="23"/>
      <c r="Z43" s="94" t="s">
        <v>124</v>
      </c>
      <c r="AA43" s="95" t="s">
        <v>118</v>
      </c>
      <c r="AB43" s="96">
        <f t="shared" ref="AB43:AB44" si="26">K23</f>
        <v>7.9</v>
      </c>
      <c r="AC43" s="96">
        <f t="shared" ref="AC43:AC44" si="27">K47</f>
        <v>30.92</v>
      </c>
      <c r="AD43" s="96">
        <f t="shared" ref="AD43:AD44" si="28">K71</f>
        <v>7.9</v>
      </c>
      <c r="AE43" s="96">
        <f t="shared" ref="AE43" si="29">K95</f>
        <v>0.9</v>
      </c>
      <c r="AF43" s="96"/>
      <c r="AG43" s="23"/>
      <c r="AH43" s="23"/>
      <c r="AI43" s="23"/>
      <c r="AJ43" s="4"/>
      <c r="AK43" s="4"/>
      <c r="AL43" s="13"/>
    </row>
    <row r="44" spans="1:38" ht="16.899999999999999" thickTop="1" thickBot="1" x14ac:dyDescent="0.45">
      <c r="A44" s="100"/>
      <c r="B44" s="76" t="s">
        <v>54</v>
      </c>
      <c r="C44" s="77">
        <f>100-C43</f>
        <v>10</v>
      </c>
      <c r="D44" s="78" t="s">
        <v>55</v>
      </c>
      <c r="E44" s="79">
        <f>$K42*$G42/100*C44/100</f>
        <v>0.61410819602636268</v>
      </c>
      <c r="F44" s="80" t="s">
        <v>56</v>
      </c>
      <c r="G44" s="81">
        <f>U$52</f>
        <v>58.023928037752697</v>
      </c>
      <c r="H44" s="82" t="s">
        <v>57</v>
      </c>
      <c r="I44" s="79">
        <f t="shared" ref="I44:I45" si="30">E44*G44/100</f>
        <v>0.35632969773627793</v>
      </c>
      <c r="J44" s="78" t="s">
        <v>58</v>
      </c>
      <c r="K44" s="84">
        <f>U$55</f>
        <v>-20</v>
      </c>
      <c r="L44" s="76" t="s">
        <v>59</v>
      </c>
      <c r="M44" s="79">
        <f t="shared" si="25"/>
        <v>-7.1265939547255588</v>
      </c>
      <c r="N44" s="78" t="s">
        <v>60</v>
      </c>
      <c r="O44" s="85">
        <v>13</v>
      </c>
      <c r="P44" s="78" t="s">
        <v>52</v>
      </c>
      <c r="Q44" s="79">
        <f t="shared" ref="Q44:Q50" si="31">M44/(1+O44/100)</f>
        <v>-6.3067203139164247</v>
      </c>
      <c r="R44" s="23"/>
      <c r="S44" s="23"/>
      <c r="T44" s="23"/>
      <c r="U44" s="23"/>
      <c r="V44" s="23"/>
      <c r="W44" s="23"/>
      <c r="X44" s="23"/>
      <c r="Y44" s="23"/>
      <c r="Z44" s="94" t="s">
        <v>125</v>
      </c>
      <c r="AA44" s="95" t="s">
        <v>118</v>
      </c>
      <c r="AB44" s="96">
        <f t="shared" si="26"/>
        <v>7.9</v>
      </c>
      <c r="AC44" s="96">
        <f t="shared" si="27"/>
        <v>30.92</v>
      </c>
      <c r="AD44" s="96">
        <f t="shared" si="28"/>
        <v>7.9</v>
      </c>
      <c r="AE44" s="96"/>
      <c r="AF44" s="96"/>
      <c r="AG44" s="23"/>
      <c r="AH44" s="23"/>
      <c r="AI44" s="23"/>
      <c r="AJ44" s="4"/>
      <c r="AK44" s="4"/>
      <c r="AL44" s="13"/>
    </row>
    <row r="45" spans="1:38" ht="16.899999999999999" thickTop="1" thickBot="1" x14ac:dyDescent="0.45">
      <c r="A45" s="101"/>
      <c r="B45" s="76" t="s">
        <v>61</v>
      </c>
      <c r="C45" s="87">
        <f>U$49</f>
        <v>1.6304347826087</v>
      </c>
      <c r="D45" s="78" t="s">
        <v>62</v>
      </c>
      <c r="E45" s="79">
        <f>C46*I49</f>
        <v>0.48809617300989688</v>
      </c>
      <c r="F45" s="80" t="s">
        <v>63</v>
      </c>
      <c r="G45" s="81">
        <f>U$53</f>
        <v>58.938907387390501</v>
      </c>
      <c r="H45" s="82" t="s">
        <v>64</v>
      </c>
      <c r="I45" s="79">
        <f t="shared" si="30"/>
        <v>0.2876785513717004</v>
      </c>
      <c r="J45" s="78" t="s">
        <v>65</v>
      </c>
      <c r="K45" s="84">
        <f>U$56</f>
        <v>-30</v>
      </c>
      <c r="L45" s="76" t="s">
        <v>66</v>
      </c>
      <c r="M45" s="79">
        <f t="shared" si="25"/>
        <v>-8.6303565411510128</v>
      </c>
      <c r="N45" s="78" t="s">
        <v>67</v>
      </c>
      <c r="O45" s="85">
        <v>13</v>
      </c>
      <c r="P45" s="78" t="s">
        <v>52</v>
      </c>
      <c r="Q45" s="79">
        <f t="shared" si="31"/>
        <v>-7.6374836647354103</v>
      </c>
      <c r="R45" s="23"/>
      <c r="S45" s="103" t="s">
        <v>126</v>
      </c>
      <c r="T45" s="103"/>
      <c r="U45" s="103"/>
      <c r="V45" s="103"/>
      <c r="W45" s="103"/>
      <c r="X45" s="23"/>
      <c r="Y45" s="23"/>
      <c r="Z45" s="94" t="s">
        <v>127</v>
      </c>
      <c r="AA45" s="95" t="s">
        <v>118</v>
      </c>
      <c r="AB45" s="96"/>
      <c r="AC45" s="96"/>
      <c r="AD45" s="96"/>
      <c r="AE45" s="96">
        <f>K96</f>
        <v>0</v>
      </c>
      <c r="AF45" s="96"/>
      <c r="AG45" s="23"/>
      <c r="AH45" s="23"/>
      <c r="AI45" s="23"/>
      <c r="AJ45" s="4"/>
      <c r="AK45" s="4"/>
      <c r="AL45" s="13"/>
    </row>
    <row r="46" spans="1:38" ht="16.899999999999999" thickTop="1" thickBot="1" x14ac:dyDescent="0.45">
      <c r="A46" s="100"/>
      <c r="B46" s="76" t="s">
        <v>70</v>
      </c>
      <c r="C46" s="91">
        <f>U$50</f>
        <v>1.7</v>
      </c>
      <c r="D46" s="78" t="s">
        <v>71</v>
      </c>
      <c r="E46" s="87">
        <f>U$62</f>
        <v>0</v>
      </c>
      <c r="F46" s="80" t="s">
        <v>72</v>
      </c>
      <c r="G46" s="81">
        <f>U64</f>
        <v>25</v>
      </c>
      <c r="H46" s="80" t="s">
        <v>73</v>
      </c>
      <c r="I46" s="83">
        <f>(E43-I43)/(1-G46/100)</f>
        <v>5.4688732977228725</v>
      </c>
      <c r="J46" s="78" t="s">
        <v>74</v>
      </c>
      <c r="K46" s="84">
        <f>U$57</f>
        <v>30.92</v>
      </c>
      <c r="L46" s="76" t="s">
        <v>75</v>
      </c>
      <c r="M46" s="79">
        <f t="shared" si="25"/>
        <v>169.09756236559122</v>
      </c>
      <c r="N46" s="78" t="s">
        <v>76</v>
      </c>
      <c r="O46" s="85">
        <v>6</v>
      </c>
      <c r="P46" s="78" t="s">
        <v>52</v>
      </c>
      <c r="Q46" s="79">
        <f t="shared" si="31"/>
        <v>159.52600223168983</v>
      </c>
      <c r="R46" s="23"/>
      <c r="S46" s="104" t="s">
        <v>20</v>
      </c>
      <c r="T46" s="105" t="s">
        <v>25</v>
      </c>
      <c r="U46" s="105" t="s">
        <v>36</v>
      </c>
      <c r="V46" s="106" t="s">
        <v>38</v>
      </c>
      <c r="W46" s="107" t="s">
        <v>40</v>
      </c>
      <c r="X46" s="23"/>
      <c r="Y46" s="23"/>
      <c r="Z46" s="88" t="s">
        <v>128</v>
      </c>
      <c r="AA46" s="89" t="s">
        <v>118</v>
      </c>
      <c r="AB46" s="90">
        <f>K25</f>
        <v>67</v>
      </c>
      <c r="AC46" s="90">
        <f>K49</f>
        <v>86</v>
      </c>
      <c r="AD46" s="90">
        <f>K73</f>
        <v>67</v>
      </c>
      <c r="AE46" s="90"/>
      <c r="AF46" s="90"/>
      <c r="AG46" s="23"/>
      <c r="AH46" s="23"/>
      <c r="AI46" s="23"/>
      <c r="AJ46" s="4"/>
      <c r="AK46" s="4"/>
      <c r="AL46" s="13"/>
    </row>
    <row r="47" spans="1:38" ht="16.899999999999999" thickTop="1" thickBot="1" x14ac:dyDescent="0.45">
      <c r="A47" s="101"/>
      <c r="B47" s="76"/>
      <c r="C47" s="92"/>
      <c r="D47" s="78" t="s">
        <v>78</v>
      </c>
      <c r="E47" s="87">
        <f>U$63</f>
        <v>168</v>
      </c>
      <c r="F47" s="80" t="s">
        <v>79</v>
      </c>
      <c r="G47" s="81">
        <f>U65</f>
        <v>25</v>
      </c>
      <c r="H47" s="80" t="s">
        <v>80</v>
      </c>
      <c r="I47" s="83">
        <f>(E44-I44)/(1-G47/100)</f>
        <v>0.34370466438677966</v>
      </c>
      <c r="J47" s="78" t="s">
        <v>81</v>
      </c>
      <c r="K47" s="84">
        <f>U$58</f>
        <v>30.92</v>
      </c>
      <c r="L47" s="76" t="s">
        <v>82</v>
      </c>
      <c r="M47" s="79">
        <f t="shared" si="25"/>
        <v>10.627348222839228</v>
      </c>
      <c r="N47" s="78" t="s">
        <v>83</v>
      </c>
      <c r="O47" s="85">
        <v>6</v>
      </c>
      <c r="P47" s="78" t="s">
        <v>52</v>
      </c>
      <c r="Q47" s="79">
        <f t="shared" si="31"/>
        <v>10.025800210225686</v>
      </c>
      <c r="R47" s="23"/>
      <c r="S47" s="108" t="s">
        <v>45</v>
      </c>
      <c r="T47" s="109">
        <v>40</v>
      </c>
      <c r="U47" s="109">
        <v>90</v>
      </c>
      <c r="V47" s="109">
        <v>60</v>
      </c>
      <c r="W47" s="109">
        <v>90</v>
      </c>
      <c r="X47" s="23"/>
      <c r="Y47" s="23"/>
      <c r="Z47" s="88" t="s">
        <v>129</v>
      </c>
      <c r="AA47" s="89" t="s">
        <v>118</v>
      </c>
      <c r="AB47" s="90">
        <f>K26</f>
        <v>2200</v>
      </c>
      <c r="AC47" s="90">
        <f>K50</f>
        <v>2500</v>
      </c>
      <c r="AD47" s="90">
        <f>K74</f>
        <v>0</v>
      </c>
      <c r="AE47" s="90">
        <f>K98</f>
        <v>0</v>
      </c>
      <c r="AF47" s="90"/>
      <c r="AG47" s="23"/>
      <c r="AH47" s="23"/>
      <c r="AI47" s="23"/>
      <c r="AJ47" s="4"/>
      <c r="AK47" s="4"/>
      <c r="AL47" s="13"/>
    </row>
    <row r="48" spans="1:38" ht="16.899999999999999" thickTop="1" thickBot="1" x14ac:dyDescent="0.45">
      <c r="A48" s="100"/>
      <c r="B48" s="76"/>
      <c r="C48" s="92"/>
      <c r="D48" s="78" t="s">
        <v>85</v>
      </c>
      <c r="E48" s="79">
        <f>E46*E47</f>
        <v>0</v>
      </c>
      <c r="F48" s="80"/>
      <c r="G48" s="80"/>
      <c r="H48" s="82" t="s">
        <v>86</v>
      </c>
      <c r="I48" s="79">
        <f>E45-I45</f>
        <v>0.20041762163819649</v>
      </c>
      <c r="J48" s="78" t="s">
        <v>87</v>
      </c>
      <c r="K48" s="84">
        <f>U$59</f>
        <v>30.92</v>
      </c>
      <c r="L48" s="76" t="s">
        <v>88</v>
      </c>
      <c r="M48" s="79">
        <f t="shared" si="25"/>
        <v>6.1969128610530353</v>
      </c>
      <c r="N48" s="78" t="s">
        <v>89</v>
      </c>
      <c r="O48" s="85">
        <v>6</v>
      </c>
      <c r="P48" s="78" t="s">
        <v>52</v>
      </c>
      <c r="Q48" s="79">
        <f t="shared" si="31"/>
        <v>5.8461442085405988</v>
      </c>
      <c r="R48" s="23"/>
      <c r="S48" s="108" t="s">
        <v>54</v>
      </c>
      <c r="T48" s="109">
        <v>60</v>
      </c>
      <c r="U48" s="109">
        <v>10</v>
      </c>
      <c r="V48" s="109">
        <v>40</v>
      </c>
      <c r="W48" s="109">
        <v>10</v>
      </c>
      <c r="X48" s="23"/>
      <c r="Y48" s="23"/>
      <c r="Z48" s="88" t="s">
        <v>130</v>
      </c>
      <c r="AA48" s="89" t="s">
        <v>118</v>
      </c>
      <c r="AB48" s="90"/>
      <c r="AC48" s="90"/>
      <c r="AD48" s="90"/>
      <c r="AE48" s="90">
        <f>K97</f>
        <v>2950</v>
      </c>
      <c r="AF48" s="90"/>
      <c r="AG48" s="23"/>
      <c r="AH48" s="23"/>
      <c r="AI48" s="23"/>
      <c r="AJ48" s="4"/>
      <c r="AK48" s="4"/>
      <c r="AL48" s="13"/>
    </row>
    <row r="49" spans="1:38" ht="16.899999999999999" thickTop="1" thickBot="1" x14ac:dyDescent="0.45">
      <c r="A49" s="100"/>
      <c r="B49" s="76"/>
      <c r="C49" s="92"/>
      <c r="D49" s="78" t="s">
        <v>91</v>
      </c>
      <c r="E49" s="93">
        <v>9</v>
      </c>
      <c r="F49" s="80"/>
      <c r="G49" s="80"/>
      <c r="H49" s="82" t="s">
        <v>92</v>
      </c>
      <c r="I49" s="79">
        <f>H42/100*K42*C45</f>
        <v>0.28711539588817464</v>
      </c>
      <c r="J49" s="78" t="s">
        <v>93</v>
      </c>
      <c r="K49" s="84">
        <f>U$60</f>
        <v>86</v>
      </c>
      <c r="L49" s="76" t="s">
        <v>94</v>
      </c>
      <c r="M49" s="79">
        <f t="shared" si="25"/>
        <v>24.691924046383019</v>
      </c>
      <c r="N49" s="78" t="s">
        <v>95</v>
      </c>
      <c r="O49" s="85">
        <v>13</v>
      </c>
      <c r="P49" s="78" t="s">
        <v>52</v>
      </c>
      <c r="Q49" s="79">
        <f t="shared" si="31"/>
        <v>21.851260218038071</v>
      </c>
      <c r="R49" s="23"/>
      <c r="S49" s="108" t="s">
        <v>131</v>
      </c>
      <c r="T49" s="55">
        <v>4.3499999999999996</v>
      </c>
      <c r="U49" s="55">
        <v>1.6304347826087</v>
      </c>
      <c r="V49" s="55">
        <v>4.3499999999999996</v>
      </c>
      <c r="W49" s="55">
        <v>1.1067708333333299</v>
      </c>
      <c r="X49" s="23"/>
      <c r="Y49" s="23"/>
      <c r="Z49" s="94" t="s">
        <v>132</v>
      </c>
      <c r="AA49" s="95" t="s">
        <v>133</v>
      </c>
      <c r="AB49" s="96">
        <f>AB25*AB37</f>
        <v>-50.574932334409716</v>
      </c>
      <c r="AC49" s="96">
        <f t="shared" ref="AC49:AE49" si="32">AC25*AC37</f>
        <v>-64.139345592529992</v>
      </c>
      <c r="AD49" s="96">
        <f t="shared" si="32"/>
        <v>0</v>
      </c>
      <c r="AE49" s="96">
        <f t="shared" si="32"/>
        <v>0</v>
      </c>
      <c r="AF49" s="96">
        <f t="shared" ref="AF49:AF56" si="33">SUM(AB49:AE49)</f>
        <v>-114.7142779269397</v>
      </c>
      <c r="AG49" s="23"/>
      <c r="AH49" s="23"/>
      <c r="AI49" s="23"/>
      <c r="AJ49" s="4"/>
      <c r="AK49" s="4"/>
      <c r="AL49" s="13"/>
    </row>
    <row r="50" spans="1:38" ht="16.899999999999999" thickTop="1" thickBot="1" x14ac:dyDescent="0.45">
      <c r="A50" s="110"/>
      <c r="B50" s="76"/>
      <c r="C50" s="92"/>
      <c r="D50" s="78" t="s">
        <v>97</v>
      </c>
      <c r="E50" s="79">
        <f>E48/(1+E49/100)</f>
        <v>0</v>
      </c>
      <c r="F50" s="80"/>
      <c r="G50" s="98"/>
      <c r="H50" s="82" t="s">
        <v>98</v>
      </c>
      <c r="I50" s="79">
        <f>(0.016*I42+0.09)/100*K42*12%/100%*1.654</f>
        <v>2.8516892417822157E-2</v>
      </c>
      <c r="J50" s="78" t="s">
        <v>99</v>
      </c>
      <c r="K50" s="84">
        <f>U$61</f>
        <v>2500</v>
      </c>
      <c r="L50" s="76" t="s">
        <v>100</v>
      </c>
      <c r="M50" s="79">
        <f t="shared" si="25"/>
        <v>71.292231044555393</v>
      </c>
      <c r="N50" s="78" t="s">
        <v>101</v>
      </c>
      <c r="O50" s="85">
        <v>13</v>
      </c>
      <c r="P50" s="78" t="s">
        <v>52</v>
      </c>
      <c r="Q50" s="79">
        <f t="shared" si="31"/>
        <v>63.090469950933979</v>
      </c>
      <c r="R50" s="23"/>
      <c r="S50" s="108" t="s">
        <v>134</v>
      </c>
      <c r="T50" s="109">
        <v>1.95</v>
      </c>
      <c r="U50" s="109">
        <v>1.7</v>
      </c>
      <c r="V50" s="109">
        <v>1.7</v>
      </c>
      <c r="W50" s="109">
        <v>3.1</v>
      </c>
      <c r="X50" s="23"/>
      <c r="Y50" s="23"/>
      <c r="Z50" s="94" t="s">
        <v>135</v>
      </c>
      <c r="AA50" s="95" t="s">
        <v>133</v>
      </c>
      <c r="AB50" s="96">
        <f t="shared" ref="AB50:AE53" si="34">AB26*AB38</f>
        <v>-34.138079325726473</v>
      </c>
      <c r="AC50" s="96">
        <f t="shared" si="34"/>
        <v>-7.1265939547255588</v>
      </c>
      <c r="AD50" s="96">
        <f t="shared" si="34"/>
        <v>0</v>
      </c>
      <c r="AE50" s="96">
        <f t="shared" si="34"/>
        <v>0</v>
      </c>
      <c r="AF50" s="96">
        <f t="shared" si="33"/>
        <v>-41.26467328045203</v>
      </c>
      <c r="AG50" s="23"/>
      <c r="AH50" s="23"/>
      <c r="AI50" s="23"/>
      <c r="AJ50" s="4"/>
      <c r="AK50" s="4"/>
      <c r="AL50" s="13"/>
    </row>
    <row r="51" spans="1:38" ht="17.649999999999999" thickTop="1" thickBot="1" x14ac:dyDescent="0.45">
      <c r="A51" s="14" t="s">
        <v>38</v>
      </c>
      <c r="B51" s="15" t="str">
        <f>$B$112</f>
        <v>东怀</v>
      </c>
      <c r="C51" s="16">
        <f t="shared" ref="C51:C65" si="35">INDEX($B$111:$Q$131,MATCH($B51,$B$111:$B$131,0),MATCH(C$2,$B$111:$Q$111,0))</f>
        <v>2482.3500545256302</v>
      </c>
      <c r="D51" s="17">
        <f t="array" ref="D51">INDEX($B$111:$Q$131,MATCH($B51,$B$111:$B$131,0),COLUMN($D$2)-1)</f>
        <v>0.12049076467887793</v>
      </c>
      <c r="E51" s="18">
        <f>C51*D51</f>
        <v>299.10025627044752</v>
      </c>
      <c r="F51" s="19">
        <f t="shared" ref="F51:I65" si="36">INDEX($B$111:$Q$131,MATCH($B51,$B$111:$B$131,0),MATCH(F$2,$B$111:$Q$111,0))</f>
        <v>9.0500000000000007</v>
      </c>
      <c r="G51" s="19">
        <f t="shared" si="36"/>
        <v>53.753421052631602</v>
      </c>
      <c r="H51" s="19">
        <f t="shared" si="36"/>
        <v>1.5392982456140301</v>
      </c>
      <c r="I51" s="19">
        <f t="shared" si="36"/>
        <v>20.240833333333299</v>
      </c>
      <c r="J51" s="18">
        <f>IFERROR(K51/K66*100,)</f>
        <v>0</v>
      </c>
      <c r="K51" s="20">
        <v>0</v>
      </c>
      <c r="L51" s="18">
        <f t="array" ref="L51">LOOKUP(1,0/($B$111:$B$131=$B51),$L$111:$L$131)</f>
        <v>16.550015999999999</v>
      </c>
      <c r="M51" s="21">
        <v>0</v>
      </c>
      <c r="N51" s="18">
        <f>IF(P51&gt;0,INDEX($B$111:$Z$131,MATCH(B51,$B$111:$B$131,0),MATCH($Z$111,$B$111:$Z$111,0))*C51*K51,C51*D51*K51)</f>
        <v>0</v>
      </c>
      <c r="O51" s="18">
        <f>P51*K51</f>
        <v>0</v>
      </c>
      <c r="P51" s="22">
        <f t="array" ref="P51">INDEX($B$111:$AF$131,MATCH($B51,$B$111:$B$131,0),COLUMN($AA$111)-1)</f>
        <v>13.63</v>
      </c>
      <c r="Q51" s="18">
        <f>SUM(N51:O51)</f>
        <v>0</v>
      </c>
      <c r="R51" s="23"/>
      <c r="S51" s="108" t="s">
        <v>47</v>
      </c>
      <c r="T51" s="109">
        <v>40.000000000000099</v>
      </c>
      <c r="U51" s="53">
        <v>25.788412461223398</v>
      </c>
      <c r="V51" s="109">
        <v>5</v>
      </c>
      <c r="W51" s="53">
        <v>88.081889641436206</v>
      </c>
      <c r="X51" s="23"/>
      <c r="Y51" s="23"/>
      <c r="Z51" s="94" t="s">
        <v>136</v>
      </c>
      <c r="AA51" s="95" t="s">
        <v>133</v>
      </c>
      <c r="AB51" s="96">
        <f t="shared" si="34"/>
        <v>-5.033181739366106</v>
      </c>
      <c r="AC51" s="96">
        <f t="shared" si="34"/>
        <v>-8.6303565411510128</v>
      </c>
      <c r="AD51" s="96">
        <f t="shared" si="34"/>
        <v>0</v>
      </c>
      <c r="AE51" s="96">
        <f t="shared" si="34"/>
        <v>0</v>
      </c>
      <c r="AF51" s="96">
        <f t="shared" si="33"/>
        <v>-13.66353828051712</v>
      </c>
      <c r="AG51" s="23"/>
      <c r="AH51" s="23"/>
      <c r="AI51" s="23"/>
      <c r="AJ51" s="4"/>
      <c r="AK51" s="4"/>
      <c r="AL51" s="13"/>
    </row>
    <row r="52" spans="1:38" ht="17.649999999999999" thickTop="1" thickBot="1" x14ac:dyDescent="0.45">
      <c r="A52" s="111" t="s">
        <v>29</v>
      </c>
      <c r="B52" s="30" t="str">
        <f>$B$113</f>
        <v>跃进</v>
      </c>
      <c r="C52" s="31">
        <f t="shared" si="35"/>
        <v>1800</v>
      </c>
      <c r="D52" s="32">
        <f t="array" ref="D52">INDEX($B$111:$Q$131,MATCH($B52,$B$111:$B$131,0),COLUMN($D$2)-1)</f>
        <v>0.11937777777777778</v>
      </c>
      <c r="E52" s="33">
        <f t="shared" ref="E52:E65" si="37">C52*D52</f>
        <v>214.88</v>
      </c>
      <c r="F52" s="34">
        <f t="shared" si="36"/>
        <v>9.9</v>
      </c>
      <c r="G52" s="34">
        <f t="shared" si="36"/>
        <v>59.606917129365399</v>
      </c>
      <c r="H52" s="34">
        <f t="shared" si="36"/>
        <v>0.41611229308287101</v>
      </c>
      <c r="I52" s="34">
        <f t="shared" si="36"/>
        <v>16.798780551087098</v>
      </c>
      <c r="J52" s="318">
        <f>IFERROR(K52/K66*100,)</f>
        <v>0</v>
      </c>
      <c r="K52" s="20">
        <v>0</v>
      </c>
      <c r="L52" s="33">
        <f t="array" ref="L52">LOOKUP(1,0/($B$111:$B$131=$B52),$L$111:$L$131)</f>
        <v>10.304105005500638</v>
      </c>
      <c r="M52" s="21">
        <v>0</v>
      </c>
      <c r="N52" s="33">
        <f t="shared" ref="N52:N65" si="38">IF(P52&gt;0,INDEX($B$111:$Z$131,MATCH(B52,$B$111:$B$131,0),MATCH($Z$111,$B$111:$Z$111,0))*C52*K52,C52*D52*K52)</f>
        <v>0</v>
      </c>
      <c r="O52" s="33">
        <f t="shared" ref="O52:O65" si="39">P52*K52</f>
        <v>0</v>
      </c>
      <c r="P52" s="35">
        <f t="array" ref="P52">INDEX($B$111:$AF$131,MATCH($B52,$B$111:$B$131,0),COLUMN($AA$111)-1)</f>
        <v>16.88</v>
      </c>
      <c r="Q52" s="33">
        <f t="shared" ref="Q52:Q65" si="40">SUM(N52:O52)</f>
        <v>0</v>
      </c>
      <c r="R52" s="23"/>
      <c r="S52" s="108" t="s">
        <v>56</v>
      </c>
      <c r="T52" s="109">
        <v>45</v>
      </c>
      <c r="U52" s="53">
        <v>58.023928037752697</v>
      </c>
      <c r="V52" s="109">
        <v>40</v>
      </c>
      <c r="W52" s="53">
        <v>92.485984123507905</v>
      </c>
      <c r="X52" s="23"/>
      <c r="Y52" s="23"/>
      <c r="Z52" s="94" t="s">
        <v>137</v>
      </c>
      <c r="AA52" s="95" t="s">
        <v>133</v>
      </c>
      <c r="AB52" s="96">
        <f t="shared" si="34"/>
        <v>0</v>
      </c>
      <c r="AC52" s="96">
        <f t="shared" si="34"/>
        <v>0</v>
      </c>
      <c r="AD52" s="96">
        <f t="shared" si="34"/>
        <v>0</v>
      </c>
      <c r="AE52" s="96">
        <f t="shared" si="34"/>
        <v>0</v>
      </c>
      <c r="AF52" s="96">
        <f t="shared" si="33"/>
        <v>0</v>
      </c>
      <c r="AG52" s="23"/>
      <c r="AH52" s="23"/>
      <c r="AI52" s="23"/>
      <c r="AJ52" s="4"/>
      <c r="AK52" s="4"/>
      <c r="AL52" s="13"/>
    </row>
    <row r="53" spans="1:38" ht="17.649999999999999" thickTop="1" thickBot="1" x14ac:dyDescent="0.45">
      <c r="A53" s="274">
        <f>AP277</f>
        <v>0</v>
      </c>
      <c r="B53" s="15" t="str">
        <f>$B$114</f>
        <v>州景</v>
      </c>
      <c r="C53" s="16">
        <f t="shared" si="35"/>
        <v>0</v>
      </c>
      <c r="D53" s="17">
        <f t="array" ref="D53">INDEX($B$111:$Q$131,MATCH($B53,$B$111:$B$131,0),COLUMN($D$2)-1)</f>
        <v>0</v>
      </c>
      <c r="E53" s="18">
        <f t="shared" si="37"/>
        <v>0</v>
      </c>
      <c r="F53" s="19">
        <f t="shared" si="36"/>
        <v>15.680999999999999</v>
      </c>
      <c r="G53" s="19">
        <f t="shared" si="36"/>
        <v>65.22</v>
      </c>
      <c r="H53" s="19">
        <f t="shared" si="36"/>
        <v>0.63</v>
      </c>
      <c r="I53" s="19">
        <f t="shared" si="36"/>
        <v>58.6</v>
      </c>
      <c r="J53" s="18">
        <f>IFERROR(K53/K66*100,)</f>
        <v>0</v>
      </c>
      <c r="K53" s="20">
        <v>0</v>
      </c>
      <c r="L53" s="18">
        <f t="array" ref="L53">LOOKUP(1,0/($B$111:$B$131=$B53),$L$111:$L$131)</f>
        <v>0</v>
      </c>
      <c r="M53" s="21">
        <v>0</v>
      </c>
      <c r="N53" s="18">
        <f t="shared" si="38"/>
        <v>0</v>
      </c>
      <c r="O53" s="18">
        <f t="shared" si="39"/>
        <v>0</v>
      </c>
      <c r="P53" s="22">
        <f t="array" ref="P53">INDEX($B$111:$AF$131,MATCH($B53,$B$111:$B$131,0),COLUMN($AA$111)-1)</f>
        <v>12.88</v>
      </c>
      <c r="Q53" s="18">
        <f t="shared" si="40"/>
        <v>0</v>
      </c>
      <c r="R53" s="23"/>
      <c r="S53" s="108" t="s">
        <v>63</v>
      </c>
      <c r="T53" s="109">
        <v>38</v>
      </c>
      <c r="U53" s="53">
        <v>58.938907387390501</v>
      </c>
      <c r="V53" s="109">
        <v>40.000000000000099</v>
      </c>
      <c r="W53" s="53">
        <v>98.198125853660599</v>
      </c>
      <c r="X53" s="23"/>
      <c r="Y53" s="23"/>
      <c r="Z53" s="94" t="s">
        <v>138</v>
      </c>
      <c r="AA53" s="95" t="s">
        <v>133</v>
      </c>
      <c r="AB53" s="96">
        <f t="shared" si="34"/>
        <v>0</v>
      </c>
      <c r="AC53" s="96">
        <f t="shared" si="34"/>
        <v>0</v>
      </c>
      <c r="AD53" s="96">
        <f t="shared" si="34"/>
        <v>0</v>
      </c>
      <c r="AE53" s="96">
        <f t="shared" si="34"/>
        <v>0</v>
      </c>
      <c r="AF53" s="96">
        <f t="shared" si="33"/>
        <v>0</v>
      </c>
      <c r="AG53" s="23"/>
      <c r="AH53" s="23"/>
      <c r="AI53" s="23"/>
      <c r="AJ53" s="4"/>
      <c r="AK53" s="4"/>
      <c r="AL53" s="13"/>
    </row>
    <row r="54" spans="1:38" ht="17.649999999999999" thickTop="1" thickBot="1" x14ac:dyDescent="0.45">
      <c r="A54" s="112" t="s">
        <v>32</v>
      </c>
      <c r="B54" s="30" t="str">
        <f>$B$115</f>
        <v>那荷</v>
      </c>
      <c r="C54" s="31">
        <f t="shared" si="35"/>
        <v>0</v>
      </c>
      <c r="D54" s="32">
        <f t="array" ref="D54">INDEX($B$111:$Q$131,MATCH($B54,$B$111:$B$131,0),COLUMN($D$2)-1)</f>
        <v>0</v>
      </c>
      <c r="E54" s="33">
        <f t="shared" si="37"/>
        <v>0</v>
      </c>
      <c r="F54" s="34">
        <f t="shared" si="36"/>
        <v>8.93</v>
      </c>
      <c r="G54" s="34">
        <f t="shared" si="36"/>
        <v>71.459999999999994</v>
      </c>
      <c r="H54" s="34">
        <f t="shared" si="36"/>
        <v>0.34</v>
      </c>
      <c r="I54" s="34">
        <f t="shared" si="36"/>
        <v>56.85</v>
      </c>
      <c r="J54" s="318">
        <f>IFERROR(K54/K66*100,)</f>
        <v>0</v>
      </c>
      <c r="K54" s="20">
        <v>0</v>
      </c>
      <c r="L54" s="33">
        <f t="array" ref="L54">LOOKUP(1,0/($B$111:$B$131=$B54),$L$111:$L$131)</f>
        <v>0</v>
      </c>
      <c r="M54" s="21">
        <v>0</v>
      </c>
      <c r="N54" s="33">
        <f t="shared" si="38"/>
        <v>0</v>
      </c>
      <c r="O54" s="33">
        <f t="shared" si="39"/>
        <v>0</v>
      </c>
      <c r="P54" s="35">
        <f t="array" ref="P54">INDEX($B$111:$AF$131,MATCH($B54,$B$111:$B$131,0),COLUMN($AA$111)-1)</f>
        <v>8.43</v>
      </c>
      <c r="Q54" s="33">
        <f t="shared" si="40"/>
        <v>0</v>
      </c>
      <c r="R54" s="23"/>
      <c r="S54" s="108" t="s">
        <v>49</v>
      </c>
      <c r="T54" s="109">
        <v>-20</v>
      </c>
      <c r="U54" s="109">
        <v>-45</v>
      </c>
      <c r="V54" s="109">
        <v>-20</v>
      </c>
      <c r="W54" s="109">
        <v>20</v>
      </c>
      <c r="X54" s="23"/>
      <c r="Y54" s="23"/>
      <c r="Z54" s="88" t="s">
        <v>139</v>
      </c>
      <c r="AA54" s="89" t="s">
        <v>133</v>
      </c>
      <c r="AB54" s="90">
        <f>AB34*AB46</f>
        <v>91.018401224704206</v>
      </c>
      <c r="AC54" s="90">
        <f t="shared" ref="AC54:AE54" si="41">AC34*AC46</f>
        <v>24.691924046383019</v>
      </c>
      <c r="AD54" s="90">
        <f t="shared" si="41"/>
        <v>0</v>
      </c>
      <c r="AE54" s="90">
        <f t="shared" si="41"/>
        <v>0</v>
      </c>
      <c r="AF54" s="90">
        <f t="shared" si="33"/>
        <v>115.71032527108723</v>
      </c>
      <c r="AG54" s="23"/>
      <c r="AH54" s="23"/>
      <c r="AI54" s="23"/>
      <c r="AJ54" s="4"/>
      <c r="AK54" s="4"/>
      <c r="AL54" s="13"/>
    </row>
    <row r="55" spans="1:38" ht="17.649999999999999" thickTop="1" thickBot="1" x14ac:dyDescent="0.45">
      <c r="A55" s="113">
        <v>9.0735471918340806</v>
      </c>
      <c r="B55" s="15" t="str">
        <f>$B$116</f>
        <v>褐煤2（云）长协</v>
      </c>
      <c r="C55" s="16">
        <f t="shared" si="35"/>
        <v>2400</v>
      </c>
      <c r="D55" s="17">
        <f t="array" ref="D55">INDEX($B$111:$Q$131,MATCH($B55,$B$111:$B$131,0),COLUMN($D$2)-1)</f>
        <v>0.123</v>
      </c>
      <c r="E55" s="18">
        <f t="shared" si="37"/>
        <v>295.2</v>
      </c>
      <c r="F55" s="19">
        <f t="shared" si="36"/>
        <v>19.2</v>
      </c>
      <c r="G55" s="19">
        <f t="shared" si="36"/>
        <v>32.974564459930299</v>
      </c>
      <c r="H55" s="19">
        <f t="shared" si="36"/>
        <v>0.80500871080139402</v>
      </c>
      <c r="I55" s="19">
        <f t="shared" si="36"/>
        <v>28.483231707317099</v>
      </c>
      <c r="J55" s="18">
        <f>IFERROR(K55/K66*100,)</f>
        <v>0</v>
      </c>
      <c r="K55" s="20">
        <v>0</v>
      </c>
      <c r="L55" s="18">
        <v>0</v>
      </c>
      <c r="M55" s="21">
        <v>0</v>
      </c>
      <c r="N55" s="18">
        <f t="shared" si="38"/>
        <v>0</v>
      </c>
      <c r="O55" s="18">
        <f t="shared" si="39"/>
        <v>0</v>
      </c>
      <c r="P55" s="22">
        <f t="array" ref="P55">INDEX($B$111:$AF$131,MATCH($B55,$B$111:$B$131,0),COLUMN($AA$111)-1)</f>
        <v>0</v>
      </c>
      <c r="Q55" s="18">
        <f t="shared" si="40"/>
        <v>0</v>
      </c>
      <c r="R55" s="23"/>
      <c r="S55" s="108" t="s">
        <v>58</v>
      </c>
      <c r="T55" s="109">
        <v>-8</v>
      </c>
      <c r="U55" s="109">
        <v>-20</v>
      </c>
      <c r="V55" s="109">
        <v>-8</v>
      </c>
      <c r="W55" s="109">
        <v>0</v>
      </c>
      <c r="X55" s="23"/>
      <c r="Y55" s="23"/>
      <c r="Z55" s="88" t="s">
        <v>140</v>
      </c>
      <c r="AA55" s="89" t="s">
        <v>133</v>
      </c>
      <c r="AB55" s="90">
        <f t="shared" ref="AB55:AE56" si="42">AB35*AB47</f>
        <v>0</v>
      </c>
      <c r="AC55" s="90">
        <f t="shared" si="42"/>
        <v>71.292231044555393</v>
      </c>
      <c r="AD55" s="90">
        <f t="shared" si="42"/>
        <v>0</v>
      </c>
      <c r="AE55" s="90">
        <f t="shared" si="42"/>
        <v>0</v>
      </c>
      <c r="AF55" s="90">
        <f t="shared" si="33"/>
        <v>71.292231044555393</v>
      </c>
      <c r="AG55" s="23"/>
      <c r="AH55" s="23"/>
      <c r="AI55" s="23"/>
      <c r="AJ55" s="4"/>
      <c r="AK55" s="4"/>
      <c r="AL55" s="13"/>
    </row>
    <row r="56" spans="1:38" ht="17.649999999999999" thickTop="1" thickBot="1" x14ac:dyDescent="0.45">
      <c r="A56" s="112" t="s">
        <v>35</v>
      </c>
      <c r="B56" s="30" t="str">
        <f>$B$117</f>
        <v>褐煤3（云）长协</v>
      </c>
      <c r="C56" s="31">
        <f t="shared" si="35"/>
        <v>3200</v>
      </c>
      <c r="D56" s="32">
        <f t="array" ref="D56">INDEX($B$111:$Q$131,MATCH($B56,$B$111:$B$131,0),COLUMN($D$2)-1)</f>
        <v>0.13300000000000001</v>
      </c>
      <c r="E56" s="33">
        <f t="shared" si="37"/>
        <v>425.6</v>
      </c>
      <c r="F56" s="34">
        <f t="shared" si="36"/>
        <v>19.149999999999999</v>
      </c>
      <c r="G56" s="34">
        <f t="shared" si="36"/>
        <v>23.8738213399504</v>
      </c>
      <c r="H56" s="34">
        <f t="shared" si="36"/>
        <v>0.84706368899917295</v>
      </c>
      <c r="I56" s="34">
        <f t="shared" si="36"/>
        <v>30.5076674937965</v>
      </c>
      <c r="J56" s="318">
        <f>IFERROR(K56/K66*100,)</f>
        <v>0</v>
      </c>
      <c r="K56" s="20">
        <v>0</v>
      </c>
      <c r="L56" s="33">
        <v>0</v>
      </c>
      <c r="M56" s="21">
        <v>0</v>
      </c>
      <c r="N56" s="33">
        <f t="shared" si="38"/>
        <v>0</v>
      </c>
      <c r="O56" s="33">
        <f t="shared" si="39"/>
        <v>0</v>
      </c>
      <c r="P56" s="35">
        <f t="array" ref="P56">INDEX($B$111:$AF$131,MATCH($B56,$B$111:$B$131,0),COLUMN($AA$111)-1)</f>
        <v>0</v>
      </c>
      <c r="Q56" s="33">
        <f t="shared" si="40"/>
        <v>0</v>
      </c>
      <c r="R56" s="23"/>
      <c r="S56" s="108" t="s">
        <v>65</v>
      </c>
      <c r="T56" s="109">
        <v>-5</v>
      </c>
      <c r="U56" s="109">
        <v>-30</v>
      </c>
      <c r="V56" s="109">
        <v>-5</v>
      </c>
      <c r="W56" s="109">
        <v>600</v>
      </c>
      <c r="X56" s="23"/>
      <c r="Y56" s="23"/>
      <c r="Z56" s="88" t="s">
        <v>141</v>
      </c>
      <c r="AA56" s="89" t="s">
        <v>133</v>
      </c>
      <c r="AB56" s="90">
        <f t="shared" si="42"/>
        <v>0</v>
      </c>
      <c r="AC56" s="90">
        <f t="shared" si="42"/>
        <v>0</v>
      </c>
      <c r="AD56" s="90">
        <f t="shared" si="42"/>
        <v>0</v>
      </c>
      <c r="AE56" s="90">
        <f t="shared" si="42"/>
        <v>0</v>
      </c>
      <c r="AF56" s="90">
        <f t="shared" si="33"/>
        <v>0</v>
      </c>
      <c r="AG56" s="23"/>
      <c r="AH56" s="23"/>
      <c r="AI56" s="23"/>
      <c r="AJ56" s="4"/>
      <c r="AK56" s="4"/>
      <c r="AL56" s="13"/>
    </row>
    <row r="57" spans="1:38" ht="17.649999999999999" thickTop="1" thickBot="1" x14ac:dyDescent="0.45">
      <c r="A57" s="113">
        <f>AP270</f>
        <v>0</v>
      </c>
      <c r="B57" s="15" t="str">
        <f>$B$118</f>
        <v>褐煤3（云）</v>
      </c>
      <c r="C57" s="16">
        <f t="shared" si="35"/>
        <v>3200</v>
      </c>
      <c r="D57" s="17">
        <f t="array" ref="D57">INDEX($B$111:$Q$131,MATCH($B57,$B$111:$B$131,0),COLUMN($D$2)-1)</f>
        <v>0.1333</v>
      </c>
      <c r="E57" s="18">
        <f t="shared" si="37"/>
        <v>426.56</v>
      </c>
      <c r="F57" s="19">
        <f t="shared" si="36"/>
        <v>19.149999999999999</v>
      </c>
      <c r="G57" s="19">
        <f t="shared" si="36"/>
        <v>23.8738213399504</v>
      </c>
      <c r="H57" s="19">
        <f t="shared" si="36"/>
        <v>0.84706368899917295</v>
      </c>
      <c r="I57" s="19">
        <f t="shared" si="36"/>
        <v>30.5076674937965</v>
      </c>
      <c r="J57" s="18">
        <f>IFERROR(K57/K66*100,)</f>
        <v>0</v>
      </c>
      <c r="K57" s="20">
        <v>0</v>
      </c>
      <c r="L57" s="18">
        <f t="array" ref="L57">LOOKUP(1,0/($B$111:$B$131=$B57),$L$111:$L$131)</f>
        <v>8</v>
      </c>
      <c r="M57" s="21">
        <v>0</v>
      </c>
      <c r="N57" s="18">
        <f t="shared" si="38"/>
        <v>0</v>
      </c>
      <c r="O57" s="18">
        <f t="shared" si="39"/>
        <v>0</v>
      </c>
      <c r="P57" s="22">
        <f t="array" ref="P57">INDEX($B$111:$AF$131,MATCH($B57,$B$111:$B$131,0),COLUMN($AA$111)-1)</f>
        <v>0</v>
      </c>
      <c r="Q57" s="18">
        <f t="shared" si="40"/>
        <v>0</v>
      </c>
      <c r="R57" s="23"/>
      <c r="S57" s="108" t="s">
        <v>74</v>
      </c>
      <c r="T57" s="109">
        <v>7.9</v>
      </c>
      <c r="U57" s="109">
        <v>30.92</v>
      </c>
      <c r="V57" s="109">
        <v>7.9</v>
      </c>
      <c r="W57" s="109">
        <v>0.9</v>
      </c>
      <c r="X57" s="23"/>
      <c r="Y57" s="23"/>
      <c r="Z57" s="88" t="s">
        <v>142</v>
      </c>
      <c r="AA57" s="89" t="s">
        <v>133</v>
      </c>
      <c r="AB57" s="90">
        <f>AB30*AB42</f>
        <v>39.95419654418351</v>
      </c>
      <c r="AC57" s="90">
        <f t="shared" ref="AC57:AE57" si="43">AC30*AC42</f>
        <v>169.09756236559122</v>
      </c>
      <c r="AD57" s="90">
        <f t="shared" si="43"/>
        <v>0</v>
      </c>
      <c r="AE57" s="90">
        <f t="shared" si="43"/>
        <v>0</v>
      </c>
      <c r="AF57" s="90">
        <f t="shared" ref="AF57:AF59" si="44">SUM(AB57:AE57)</f>
        <v>209.05175890977472</v>
      </c>
      <c r="AG57" s="23"/>
      <c r="AH57" s="23"/>
      <c r="AI57" s="23"/>
      <c r="AJ57" s="4"/>
      <c r="AK57" s="4"/>
      <c r="AL57" s="13"/>
    </row>
    <row r="58" spans="1:38" ht="17.649999999999999" thickTop="1" thickBot="1" x14ac:dyDescent="0.45">
      <c r="A58" s="112" t="s">
        <v>37</v>
      </c>
      <c r="B58" s="30" t="str">
        <f>$B$119</f>
        <v>褐煤32（港1）</v>
      </c>
      <c r="C58" s="31">
        <f t="shared" si="35"/>
        <v>3200</v>
      </c>
      <c r="D58" s="32">
        <f t="array" ref="D58">INDEX($B$111:$Q$131,MATCH($B58,$B$111:$B$131,0),COLUMN($D$2)-1)</f>
        <v>0.16878750000000001</v>
      </c>
      <c r="E58" s="33">
        <f t="shared" si="37"/>
        <v>540.12</v>
      </c>
      <c r="F58" s="34">
        <f t="shared" si="36"/>
        <v>32.112708935028316</v>
      </c>
      <c r="G58" s="34">
        <f t="shared" si="36"/>
        <v>19.443642689832394</v>
      </c>
      <c r="H58" s="34">
        <f t="shared" si="36"/>
        <v>0.77574029122504196</v>
      </c>
      <c r="I58" s="34">
        <f t="shared" si="36"/>
        <v>24.82919018488618</v>
      </c>
      <c r="J58" s="318">
        <f>IFERROR(K58/K66*100,)</f>
        <v>0</v>
      </c>
      <c r="K58" s="20">
        <v>0</v>
      </c>
      <c r="L58" s="33">
        <f t="array" ref="L58">LOOKUP(1,0/($B$111:$B$131=$B58),$L$111:$L$131)</f>
        <v>100</v>
      </c>
      <c r="M58" s="21">
        <v>0</v>
      </c>
      <c r="N58" s="33">
        <f t="shared" si="38"/>
        <v>0</v>
      </c>
      <c r="O58" s="33">
        <f t="shared" si="39"/>
        <v>0</v>
      </c>
      <c r="P58" s="35">
        <f t="array" ref="P58">INDEX($B$111:$AF$131,MATCH($B58,$B$111:$B$131,0),COLUMN($AA$111)-1)</f>
        <v>95.32</v>
      </c>
      <c r="Q58" s="33">
        <f t="shared" si="40"/>
        <v>0</v>
      </c>
      <c r="R58" s="23"/>
      <c r="S58" s="108" t="s">
        <v>81</v>
      </c>
      <c r="T58" s="109">
        <v>7.9</v>
      </c>
      <c r="U58" s="109">
        <v>30.92</v>
      </c>
      <c r="V58" s="109">
        <v>7.9</v>
      </c>
      <c r="W58" s="109">
        <v>0.9</v>
      </c>
      <c r="X58" s="23"/>
      <c r="Y58" s="23"/>
      <c r="Z58" s="88" t="s">
        <v>143</v>
      </c>
      <c r="AA58" s="89" t="s">
        <v>133</v>
      </c>
      <c r="AB58" s="90">
        <f t="shared" ref="AB58:AE59" si="45">AB31*AB43</f>
        <v>54.937020248252431</v>
      </c>
      <c r="AC58" s="90">
        <f t="shared" si="45"/>
        <v>10.627348222839228</v>
      </c>
      <c r="AD58" s="90">
        <f t="shared" si="45"/>
        <v>0</v>
      </c>
      <c r="AE58" s="90">
        <f t="shared" si="45"/>
        <v>0</v>
      </c>
      <c r="AF58" s="90">
        <f t="shared" si="44"/>
        <v>65.564368471091655</v>
      </c>
      <c r="AG58" s="23"/>
      <c r="AH58" s="23"/>
      <c r="AI58" s="23"/>
      <c r="AJ58" s="4"/>
      <c r="AK58" s="4"/>
      <c r="AL58" s="13"/>
    </row>
    <row r="59" spans="1:38" ht="17.649999999999999" thickTop="1" thickBot="1" x14ac:dyDescent="0.45">
      <c r="A59" s="113">
        <f>IFERROR((SUMIF($B$51:$B$65,$B$112,$K$51:$K$65)+SUMIF($B$51:$B$65,$B$113,$K$51:$K$65)+SUMIF($B$51:$B$65,$B$114,$K$51:$K$65)+SUMIF($B$51:$B$65,$B$115,$K$51:$K$65))/$K$66*100,)</f>
        <v>0</v>
      </c>
      <c r="B59" s="15" t="str">
        <f>$B$120</f>
        <v>褐煤35（港2）</v>
      </c>
      <c r="C59" s="16">
        <f t="shared" si="35"/>
        <v>3500</v>
      </c>
      <c r="D59" s="17">
        <f t="array" ref="D59">INDEX($B$111:$Q$131,MATCH($B59,$B$111:$B$131,0),COLUMN($D$2)-1)</f>
        <v>0.17313428571428571</v>
      </c>
      <c r="E59" s="18">
        <f t="shared" si="37"/>
        <v>605.97</v>
      </c>
      <c r="F59" s="19">
        <f t="shared" si="36"/>
        <v>29.814058639384577</v>
      </c>
      <c r="G59" s="19">
        <f t="shared" si="36"/>
        <v>17.717185625549313</v>
      </c>
      <c r="H59" s="19">
        <f t="shared" si="36"/>
        <v>0.78167601374394924</v>
      </c>
      <c r="I59" s="19">
        <f t="shared" si="36"/>
        <v>26.875930557064283</v>
      </c>
      <c r="J59" s="18">
        <f>IFERROR(K59/K66*100,)</f>
        <v>0</v>
      </c>
      <c r="K59" s="20">
        <v>0</v>
      </c>
      <c r="L59" s="18">
        <f t="array" ref="L59">LOOKUP(1,0/($B$111:$B$131=$B59),$L$111:$L$131)</f>
        <v>100</v>
      </c>
      <c r="M59" s="21">
        <v>0</v>
      </c>
      <c r="N59" s="18">
        <f t="shared" si="38"/>
        <v>0</v>
      </c>
      <c r="O59" s="18">
        <f t="shared" si="39"/>
        <v>0</v>
      </c>
      <c r="P59" s="22">
        <f t="array" ref="P59">INDEX($B$111:$AF$131,MATCH($B59,$B$111:$B$131,0),COLUMN($AA$111)-1)</f>
        <v>95.32</v>
      </c>
      <c r="Q59" s="18">
        <f t="shared" si="40"/>
        <v>0</v>
      </c>
      <c r="R59" s="23"/>
      <c r="S59" s="108" t="s">
        <v>87</v>
      </c>
      <c r="T59" s="109">
        <v>7.9</v>
      </c>
      <c r="U59" s="109">
        <v>30.92</v>
      </c>
      <c r="V59" s="109">
        <v>7.9</v>
      </c>
      <c r="W59" s="109">
        <v>0</v>
      </c>
      <c r="X59" s="23"/>
      <c r="Y59" s="23"/>
      <c r="Z59" s="88" t="s">
        <v>144</v>
      </c>
      <c r="AA59" s="89" t="s">
        <v>133</v>
      </c>
      <c r="AB59" s="90">
        <f t="shared" si="45"/>
        <v>12.975012715481675</v>
      </c>
      <c r="AC59" s="90">
        <f t="shared" si="45"/>
        <v>6.1969128610530353</v>
      </c>
      <c r="AD59" s="90">
        <f t="shared" si="45"/>
        <v>0</v>
      </c>
      <c r="AE59" s="90">
        <f t="shared" si="45"/>
        <v>0</v>
      </c>
      <c r="AF59" s="90">
        <f t="shared" si="44"/>
        <v>19.171925576534711</v>
      </c>
      <c r="AG59" s="23"/>
      <c r="AH59" s="23"/>
      <c r="AI59" s="23"/>
      <c r="AJ59" s="4"/>
      <c r="AK59" s="4"/>
      <c r="AL59" s="13"/>
    </row>
    <row r="60" spans="1:38" ht="17.649999999999999" thickTop="1" thickBot="1" x14ac:dyDescent="0.45">
      <c r="A60" s="113" t="s">
        <v>0</v>
      </c>
      <c r="B60" s="30" t="str">
        <f>$B$121</f>
        <v>褐煤38（港3）</v>
      </c>
      <c r="C60" s="31">
        <f t="shared" si="35"/>
        <v>3800</v>
      </c>
      <c r="D60" s="32">
        <f t="array" ref="D60">INDEX($B$111:$Q$131,MATCH($B60,$B$111:$B$131,0),COLUMN($D$2)-1)</f>
        <v>0.1693842105263158</v>
      </c>
      <c r="E60" s="33">
        <f t="shared" si="37"/>
        <v>643.66000000000008</v>
      </c>
      <c r="F60" s="34">
        <f t="shared" si="36"/>
        <v>34.679691189371134</v>
      </c>
      <c r="G60" s="34">
        <f t="shared" si="36"/>
        <v>8.6727633353557447</v>
      </c>
      <c r="H60" s="34">
        <f t="shared" si="36"/>
        <v>0.82970573383298385</v>
      </c>
      <c r="I60" s="34">
        <f t="shared" si="36"/>
        <v>28.63870628789606</v>
      </c>
      <c r="J60" s="318">
        <f>IFERROR(K60/K66*100,)</f>
        <v>0</v>
      </c>
      <c r="K60" s="20">
        <v>0</v>
      </c>
      <c r="L60" s="33">
        <f t="array" ref="L60">LOOKUP(1,0/($B$111:$B$131=$B60),$L$111:$L$131)</f>
        <v>100</v>
      </c>
      <c r="M60" s="21">
        <v>0</v>
      </c>
      <c r="N60" s="33">
        <f t="shared" si="38"/>
        <v>0</v>
      </c>
      <c r="O60" s="33">
        <f t="shared" si="39"/>
        <v>0</v>
      </c>
      <c r="P60" s="35">
        <f t="array" ref="P60">INDEX($B$111:$AF$131,MATCH($B60,$B$111:$B$131,0),COLUMN($AA$111)-1)</f>
        <v>95.32</v>
      </c>
      <c r="Q60" s="33">
        <f t="shared" si="40"/>
        <v>0</v>
      </c>
      <c r="R60" s="23"/>
      <c r="S60" s="108" t="s">
        <v>145</v>
      </c>
      <c r="T60" s="109">
        <v>67</v>
      </c>
      <c r="U60" s="109">
        <v>86</v>
      </c>
      <c r="V60" s="109">
        <v>67</v>
      </c>
      <c r="W60" s="109">
        <v>2950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4"/>
      <c r="AK60" s="4"/>
      <c r="AL60" s="13"/>
    </row>
    <row r="61" spans="1:38" ht="17.649999999999999" thickTop="1" thickBot="1" x14ac:dyDescent="0.45">
      <c r="A61" s="61">
        <f>C107</f>
        <v>-2190.1722032607349</v>
      </c>
      <c r="B61" s="15" t="str">
        <f>$B$122</f>
        <v>褐煤46</v>
      </c>
      <c r="C61" s="16">
        <f t="shared" si="35"/>
        <v>4600</v>
      </c>
      <c r="D61" s="17">
        <f t="array" ref="D61">INDEX($B$111:$Q$131,MATCH($B61,$B$111:$B$131,0),COLUMN($D$2)-1)</f>
        <v>0.16142173913043478</v>
      </c>
      <c r="E61" s="18">
        <f t="shared" si="37"/>
        <v>742.54</v>
      </c>
      <c r="F61" s="19">
        <f t="shared" si="36"/>
        <v>23.091665258091258</v>
      </c>
      <c r="G61" s="19">
        <f t="shared" si="36"/>
        <v>10.878752304026914</v>
      </c>
      <c r="H61" s="19">
        <f t="shared" si="36"/>
        <v>0.20812534188160234</v>
      </c>
      <c r="I61" s="19">
        <f t="shared" si="36"/>
        <v>32.849464801712827</v>
      </c>
      <c r="J61" s="18">
        <f>IFERROR(K61/K66*100,)</f>
        <v>0</v>
      </c>
      <c r="K61" s="20">
        <v>0</v>
      </c>
      <c r="L61" s="18">
        <f t="array" ref="L61">LOOKUP(1,0/($B$111:$B$131=$B61),$L$111:$L$131)</f>
        <v>100</v>
      </c>
      <c r="M61" s="21">
        <v>0</v>
      </c>
      <c r="N61" s="18">
        <f t="shared" si="38"/>
        <v>0</v>
      </c>
      <c r="O61" s="18">
        <f t="shared" si="39"/>
        <v>0</v>
      </c>
      <c r="P61" s="22">
        <f t="array" ref="P61">INDEX($B$111:$AF$131,MATCH($B61,$B$111:$B$131,0),COLUMN($AA$111)-1)</f>
        <v>95.32</v>
      </c>
      <c r="Q61" s="18">
        <f t="shared" si="40"/>
        <v>0</v>
      </c>
      <c r="R61" s="23"/>
      <c r="S61" s="108" t="s">
        <v>99</v>
      </c>
      <c r="T61" s="109">
        <v>2200</v>
      </c>
      <c r="U61" s="109">
        <v>2500</v>
      </c>
      <c r="V61" s="109">
        <v>0</v>
      </c>
      <c r="W61" s="109">
        <v>0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4"/>
      <c r="AK61" s="4"/>
      <c r="AL61" s="13"/>
    </row>
    <row r="62" spans="1:38" ht="17.649999999999999" thickTop="1" thickBot="1" x14ac:dyDescent="0.45">
      <c r="A62" s="113" t="s">
        <v>39</v>
      </c>
      <c r="B62" s="30" t="str">
        <f>$B$123</f>
        <v>烟煤55</v>
      </c>
      <c r="C62" s="31">
        <f t="shared" si="35"/>
        <v>5500</v>
      </c>
      <c r="D62" s="32">
        <f t="array" ref="D62">INDEX($B$111:$Q$131,MATCH($B62,$B$111:$B$131,0),COLUMN($D$2)-1)</f>
        <v>0.16633090909090908</v>
      </c>
      <c r="E62" s="33">
        <f t="shared" si="37"/>
        <v>914.81999999999994</v>
      </c>
      <c r="F62" s="34">
        <f t="shared" si="36"/>
        <v>10.316450637788327</v>
      </c>
      <c r="G62" s="34">
        <f t="shared" si="36"/>
        <v>19.875802288647424</v>
      </c>
      <c r="H62" s="34">
        <f t="shared" si="36"/>
        <v>0.4766377671249582</v>
      </c>
      <c r="I62" s="34">
        <f t="shared" si="36"/>
        <v>25.313893426650807</v>
      </c>
      <c r="J62" s="318">
        <f>IFERROR(K62/K66*100,)</f>
        <v>0</v>
      </c>
      <c r="K62" s="20">
        <v>0</v>
      </c>
      <c r="L62" s="33">
        <f t="array" ref="L62">LOOKUP(1,0/($B$111:$B$131=$B62),$L$111:$L$131)</f>
        <v>100</v>
      </c>
      <c r="M62" s="21">
        <v>0</v>
      </c>
      <c r="N62" s="33">
        <f t="shared" si="38"/>
        <v>0</v>
      </c>
      <c r="O62" s="33">
        <f t="shared" si="39"/>
        <v>0</v>
      </c>
      <c r="P62" s="35">
        <f t="array" ref="P62">INDEX($B$111:$AF$131,MATCH($B62,$B$111:$B$131,0),COLUMN($AA$111)-1)</f>
        <v>95.32</v>
      </c>
      <c r="Q62" s="33">
        <f t="shared" si="40"/>
        <v>0</v>
      </c>
      <c r="R62" s="23"/>
      <c r="S62" s="108" t="s">
        <v>71</v>
      </c>
      <c r="T62" s="109">
        <v>0</v>
      </c>
      <c r="U62" s="109">
        <v>0</v>
      </c>
      <c r="V62" s="109">
        <v>0</v>
      </c>
      <c r="W62" s="109">
        <v>0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4"/>
      <c r="AK62" s="4"/>
      <c r="AL62" s="13"/>
    </row>
    <row r="63" spans="1:38" ht="17.649999999999999" thickTop="1" thickBot="1" x14ac:dyDescent="0.45">
      <c r="A63" s="113">
        <f>AP271*100</f>
        <v>0</v>
      </c>
      <c r="B63" s="15" t="str">
        <f>$B$124</f>
        <v>烟煤50备</v>
      </c>
      <c r="C63" s="16">
        <f t="shared" si="35"/>
        <v>5000</v>
      </c>
      <c r="D63" s="17">
        <f t="array" ref="D63">INDEX($B$111:$Q$131,MATCH($B63,$B$111:$B$131,0),COLUMN($D$2)-1)</f>
        <v>0</v>
      </c>
      <c r="E63" s="18">
        <f t="shared" si="37"/>
        <v>0</v>
      </c>
      <c r="F63" s="19">
        <f t="shared" si="36"/>
        <v>0</v>
      </c>
      <c r="G63" s="19">
        <f t="shared" si="36"/>
        <v>0</v>
      </c>
      <c r="H63" s="19">
        <f t="shared" si="36"/>
        <v>0</v>
      </c>
      <c r="I63" s="19">
        <f t="shared" si="36"/>
        <v>0</v>
      </c>
      <c r="J63" s="18">
        <f>IFERROR(K63/K66*100,)</f>
        <v>0</v>
      </c>
      <c r="K63" s="20">
        <v>0</v>
      </c>
      <c r="L63" s="18">
        <f t="array" ref="L63">LOOKUP(1,0/($B$111:$B$131=$B63),$L$111:$L$131)</f>
        <v>0</v>
      </c>
      <c r="M63" s="21">
        <v>0</v>
      </c>
      <c r="N63" s="18">
        <f t="shared" si="38"/>
        <v>0</v>
      </c>
      <c r="O63" s="18">
        <f t="shared" si="39"/>
        <v>0</v>
      </c>
      <c r="P63" s="22">
        <f t="array" ref="P63">INDEX($B$111:$AF$131,MATCH($B63,$B$111:$B$131,0),COLUMN($AA$111)-1)</f>
        <v>0</v>
      </c>
      <c r="Q63" s="18">
        <f t="shared" si="40"/>
        <v>0</v>
      </c>
      <c r="R63" s="23"/>
      <c r="S63" s="108" t="s">
        <v>78</v>
      </c>
      <c r="T63" s="55">
        <v>168</v>
      </c>
      <c r="U63" s="55">
        <v>168</v>
      </c>
      <c r="V63" s="55">
        <v>168</v>
      </c>
      <c r="W63" s="55">
        <v>168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4"/>
      <c r="AK63" s="4"/>
      <c r="AL63" s="13"/>
    </row>
    <row r="64" spans="1:38" ht="17.649999999999999" thickTop="1" thickBot="1" x14ac:dyDescent="0.45">
      <c r="A64" s="113" t="s">
        <v>42</v>
      </c>
      <c r="B64" s="30" t="str">
        <f>$B$125</f>
        <v>烟煤55备</v>
      </c>
      <c r="C64" s="31">
        <f t="shared" si="35"/>
        <v>5500</v>
      </c>
      <c r="D64" s="32">
        <f t="array" ref="D64">INDEX($B$111:$Q$131,MATCH($B64,$B$111:$B$131,0),COLUMN($D$2)-1)</f>
        <v>0</v>
      </c>
      <c r="E64" s="33">
        <f t="shared" si="37"/>
        <v>0</v>
      </c>
      <c r="F64" s="34">
        <f t="shared" si="36"/>
        <v>0</v>
      </c>
      <c r="G64" s="34">
        <f t="shared" si="36"/>
        <v>0</v>
      </c>
      <c r="H64" s="34">
        <f t="shared" si="36"/>
        <v>0</v>
      </c>
      <c r="I64" s="34">
        <f t="shared" si="36"/>
        <v>0</v>
      </c>
      <c r="J64" s="318">
        <f>IFERROR(K64/K66*100,)</f>
        <v>0</v>
      </c>
      <c r="K64" s="20">
        <v>0</v>
      </c>
      <c r="L64" s="33">
        <f t="array" ref="L64">LOOKUP(1,0/($B$111:$B$131=$B64),$L$111:$L$131)</f>
        <v>0</v>
      </c>
      <c r="M64" s="21">
        <v>0</v>
      </c>
      <c r="N64" s="33">
        <f t="shared" si="38"/>
        <v>0</v>
      </c>
      <c r="O64" s="33">
        <f t="shared" si="39"/>
        <v>0</v>
      </c>
      <c r="P64" s="35">
        <f t="array" ref="P64">INDEX($B$111:$AF$131,MATCH($B64,$B$111:$B$131,0),COLUMN($AA$111)-1)</f>
        <v>0</v>
      </c>
      <c r="Q64" s="33">
        <f t="shared" si="40"/>
        <v>0</v>
      </c>
      <c r="R64" s="23"/>
      <c r="S64" s="114" t="s">
        <v>72</v>
      </c>
      <c r="T64" s="54">
        <v>25</v>
      </c>
      <c r="U64" s="54">
        <v>25</v>
      </c>
      <c r="V64" s="54">
        <v>25</v>
      </c>
      <c r="W64" s="54">
        <v>20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4"/>
      <c r="AK64" s="4"/>
      <c r="AL64" s="13"/>
    </row>
    <row r="65" spans="1:38" ht="17.649999999999999" thickTop="1" thickBot="1" x14ac:dyDescent="0.45">
      <c r="A65" s="113">
        <f>AP272</f>
        <v>0</v>
      </c>
      <c r="B65" s="15" t="str">
        <f>$B$127</f>
        <v>石油焦</v>
      </c>
      <c r="C65" s="16">
        <f t="shared" si="35"/>
        <v>7256.4478151694502</v>
      </c>
      <c r="D65" s="17">
        <f t="array" ref="D65">INDEX($B$111:$Q$131,MATCH($B65,$B$111:$B$131,0),COLUMN($D$2)-1)</f>
        <v>0</v>
      </c>
      <c r="E65" s="18">
        <f t="shared" si="37"/>
        <v>0</v>
      </c>
      <c r="F65" s="19">
        <f t="shared" si="36"/>
        <v>0</v>
      </c>
      <c r="G65" s="19">
        <f t="shared" si="36"/>
        <v>0</v>
      </c>
      <c r="H65" s="19">
        <f t="shared" si="36"/>
        <v>0</v>
      </c>
      <c r="I65" s="19">
        <f t="shared" si="36"/>
        <v>0</v>
      </c>
      <c r="J65" s="18">
        <f>IFERROR(K65/K66*100,)</f>
        <v>0</v>
      </c>
      <c r="K65" s="20">
        <v>0</v>
      </c>
      <c r="L65" s="18">
        <f t="array" ref="L65">LOOKUP(1,0/($B$111:$B$131=$B65),$L$111:$L$131)</f>
        <v>0</v>
      </c>
      <c r="M65" s="21">
        <v>0</v>
      </c>
      <c r="N65" s="18">
        <f t="shared" si="38"/>
        <v>0</v>
      </c>
      <c r="O65" s="18">
        <f t="shared" si="39"/>
        <v>0</v>
      </c>
      <c r="P65" s="22">
        <f t="array" ref="P65">INDEX($B$111:$AF$131,MATCH($B65,$B$111:$B$131,0),COLUMN($AA$111)-1)</f>
        <v>0</v>
      </c>
      <c r="Q65" s="18">
        <f t="shared" si="40"/>
        <v>0</v>
      </c>
      <c r="R65" s="23"/>
      <c r="S65" s="114" t="s">
        <v>79</v>
      </c>
      <c r="T65" s="54">
        <v>25</v>
      </c>
      <c r="U65" s="54">
        <v>25</v>
      </c>
      <c r="V65" s="54">
        <v>25</v>
      </c>
      <c r="W65" s="54">
        <v>35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4"/>
      <c r="AK65" s="4"/>
      <c r="AL65" s="13"/>
    </row>
    <row r="66" spans="1:38" ht="16.5" thickTop="1" thickBot="1" x14ac:dyDescent="0.45">
      <c r="A66" s="111"/>
      <c r="B66" s="63" t="s">
        <v>44</v>
      </c>
      <c r="C66" s="64">
        <f>IFERROR(SUMPRODUCT(C51:C65,K51:K65)/SUM(K51:K65),)</f>
        <v>0</v>
      </c>
      <c r="D66" s="65">
        <f>IFERROR(SUMPRODUCT(C51:C65,D51:D65,K51:K65)/SUMPRODUCT(C51:C65,K51:K65),)</f>
        <v>0</v>
      </c>
      <c r="E66" s="64">
        <f>IFERROR(SUMPRODUCT(C51:C65,E51:E65,K51:K65)/SUMPRODUCT(C51:C65,K51:K65),)</f>
        <v>0</v>
      </c>
      <c r="F66" s="64">
        <f>IFERROR(SUMPRODUCT(F51:F65,K51:K65)/SUM(K51:K65),)</f>
        <v>0</v>
      </c>
      <c r="G66" s="64">
        <f>IFERROR(SUMPRODUCT(G51:G65,K51:K65)/SUM(K51:K65),)</f>
        <v>0</v>
      </c>
      <c r="H66" s="64">
        <f>IFERROR(SUMPRODUCT(H51:H65,K51:K65)/SUM(K51:K65),)</f>
        <v>0</v>
      </c>
      <c r="I66" s="64">
        <f>IFERROR(SUMPRODUCT(I51:I65,K51:K65)/SUM(K51:K65),)</f>
        <v>0</v>
      </c>
      <c r="J66" s="64">
        <f>IFERROR(SUM(J51:J65),)</f>
        <v>0</v>
      </c>
      <c r="K66" s="64">
        <f>IFERROR(SUM(K51:K65),)</f>
        <v>0</v>
      </c>
      <c r="L66" s="64">
        <f t="shared" ref="L66" si="46">SUM(L51:L65)</f>
        <v>534.8541210055007</v>
      </c>
      <c r="M66" s="64">
        <f t="shared" ref="M66:O66" si="47">SUM(M51:M65)</f>
        <v>0</v>
      </c>
      <c r="N66" s="64">
        <f t="shared" si="47"/>
        <v>0</v>
      </c>
      <c r="O66" s="64">
        <f t="shared" si="47"/>
        <v>0</v>
      </c>
      <c r="P66" s="64">
        <f>IFERROR(SUMPRODUCT(P51:P65,K51:K65)/SUM(K51:K65),)</f>
        <v>0</v>
      </c>
      <c r="Q66" s="64">
        <f>SUM(Q51:Q65)</f>
        <v>0</v>
      </c>
      <c r="R66" s="64">
        <f>SUM(R51:R65)</f>
        <v>0</v>
      </c>
      <c r="S66" s="114" t="s">
        <v>146</v>
      </c>
      <c r="T66" s="54">
        <v>85</v>
      </c>
      <c r="U66" s="54">
        <v>85</v>
      </c>
      <c r="V66" s="54">
        <v>85</v>
      </c>
      <c r="W66" s="54">
        <v>85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4"/>
      <c r="AK66" s="4"/>
      <c r="AL66" s="13"/>
    </row>
    <row r="67" spans="1:38" ht="16.149999999999999" thickTop="1" x14ac:dyDescent="0.4">
      <c r="A67" s="112"/>
      <c r="B67" s="68" t="s">
        <v>45</v>
      </c>
      <c r="C67" s="67">
        <f>V$47</f>
        <v>60</v>
      </c>
      <c r="D67" s="68" t="s">
        <v>46</v>
      </c>
      <c r="E67" s="69">
        <f>$K66*$G66/100*C67/100</f>
        <v>0</v>
      </c>
      <c r="F67" s="72" t="s">
        <v>47</v>
      </c>
      <c r="G67" s="71">
        <f>V$51</f>
        <v>5</v>
      </c>
      <c r="H67" s="72" t="s">
        <v>48</v>
      </c>
      <c r="I67" s="73">
        <f>E67*G67/100</f>
        <v>0</v>
      </c>
      <c r="J67" s="319" t="s">
        <v>49</v>
      </c>
      <c r="K67" s="74">
        <f>V$54</f>
        <v>-20</v>
      </c>
      <c r="L67" s="68" t="s">
        <v>50</v>
      </c>
      <c r="M67" s="73">
        <f t="shared" ref="M67:M74" si="48">I67*K67</f>
        <v>0</v>
      </c>
      <c r="N67" s="68" t="s">
        <v>51</v>
      </c>
      <c r="O67" s="115">
        <v>13</v>
      </c>
      <c r="P67" s="68" t="s">
        <v>52</v>
      </c>
      <c r="Q67" s="69">
        <f>M67/(1+O67/100)</f>
        <v>0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4"/>
      <c r="AK67" s="4"/>
      <c r="AL67" s="13"/>
    </row>
    <row r="68" spans="1:38" ht="15.75" x14ac:dyDescent="0.4">
      <c r="A68" s="111"/>
      <c r="B68" s="78" t="s">
        <v>54</v>
      </c>
      <c r="C68" s="77">
        <f>100-C67</f>
        <v>40</v>
      </c>
      <c r="D68" s="78" t="s">
        <v>55</v>
      </c>
      <c r="E68" s="79">
        <f>$K66*$G66/100*C68/100</f>
        <v>0</v>
      </c>
      <c r="F68" s="82" t="s">
        <v>56</v>
      </c>
      <c r="G68" s="81">
        <f>V$52</f>
        <v>40</v>
      </c>
      <c r="H68" s="82" t="s">
        <v>57</v>
      </c>
      <c r="I68" s="83">
        <f t="shared" ref="I68:I69" si="49">E68*G68/100</f>
        <v>0</v>
      </c>
      <c r="J68" s="320" t="s">
        <v>58</v>
      </c>
      <c r="K68" s="84">
        <f>V$55</f>
        <v>-8</v>
      </c>
      <c r="L68" s="78" t="s">
        <v>59</v>
      </c>
      <c r="M68" s="83">
        <f t="shared" si="48"/>
        <v>0</v>
      </c>
      <c r="N68" s="78" t="s">
        <v>60</v>
      </c>
      <c r="O68" s="116">
        <v>13</v>
      </c>
      <c r="P68" s="78" t="s">
        <v>52</v>
      </c>
      <c r="Q68" s="79">
        <f t="shared" ref="Q68:Q74" si="50">M68/(1+O68/100)</f>
        <v>0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4"/>
      <c r="AK68" s="4"/>
      <c r="AL68" s="13"/>
    </row>
    <row r="69" spans="1:38" ht="15.75" x14ac:dyDescent="0.4">
      <c r="A69" s="112"/>
      <c r="B69" s="78" t="s">
        <v>61</v>
      </c>
      <c r="C69" s="87">
        <f>V$49</f>
        <v>4.3499999999999996</v>
      </c>
      <c r="D69" s="78" t="s">
        <v>62</v>
      </c>
      <c r="E69" s="83">
        <f>C70*I73</f>
        <v>0</v>
      </c>
      <c r="F69" s="82" t="s">
        <v>63</v>
      </c>
      <c r="G69" s="81">
        <f>V$53</f>
        <v>40.000000000000099</v>
      </c>
      <c r="H69" s="82" t="s">
        <v>64</v>
      </c>
      <c r="I69" s="83">
        <f t="shared" si="49"/>
        <v>0</v>
      </c>
      <c r="J69" s="320" t="s">
        <v>65</v>
      </c>
      <c r="K69" s="84">
        <f>V$56</f>
        <v>-5</v>
      </c>
      <c r="L69" s="78" t="s">
        <v>66</v>
      </c>
      <c r="M69" s="83">
        <f t="shared" si="48"/>
        <v>0</v>
      </c>
      <c r="N69" s="78" t="s">
        <v>67</v>
      </c>
      <c r="O69" s="116">
        <v>13</v>
      </c>
      <c r="P69" s="78" t="s">
        <v>52</v>
      </c>
      <c r="Q69" s="79">
        <f t="shared" si="50"/>
        <v>0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4"/>
      <c r="AK69" s="4"/>
      <c r="AL69" s="13"/>
    </row>
    <row r="70" spans="1:38" ht="15.75" x14ac:dyDescent="0.4">
      <c r="A70" s="111"/>
      <c r="B70" s="78" t="s">
        <v>70</v>
      </c>
      <c r="C70" s="91">
        <f>V$50</f>
        <v>1.7</v>
      </c>
      <c r="D70" s="78" t="s">
        <v>71</v>
      </c>
      <c r="E70" s="87">
        <f>V$62</f>
        <v>0</v>
      </c>
      <c r="F70" s="80" t="s">
        <v>72</v>
      </c>
      <c r="G70" s="81">
        <f>V64</f>
        <v>25</v>
      </c>
      <c r="H70" s="80" t="s">
        <v>73</v>
      </c>
      <c r="I70" s="83">
        <f>(E67-I67)/(1-G70/100)</f>
        <v>0</v>
      </c>
      <c r="J70" s="320" t="s">
        <v>74</v>
      </c>
      <c r="K70" s="84">
        <f>V$57</f>
        <v>7.9</v>
      </c>
      <c r="L70" s="78" t="s">
        <v>75</v>
      </c>
      <c r="M70" s="83">
        <f t="shared" si="48"/>
        <v>0</v>
      </c>
      <c r="N70" s="78" t="s">
        <v>76</v>
      </c>
      <c r="O70" s="116">
        <v>6</v>
      </c>
      <c r="P70" s="78" t="s">
        <v>52</v>
      </c>
      <c r="Q70" s="79">
        <f t="shared" si="50"/>
        <v>0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4"/>
      <c r="AK70" s="4"/>
      <c r="AL70" s="13"/>
    </row>
    <row r="71" spans="1:38" ht="15.75" x14ac:dyDescent="0.4">
      <c r="A71" s="112"/>
      <c r="B71" s="78"/>
      <c r="C71" s="117"/>
      <c r="D71" s="78" t="s">
        <v>78</v>
      </c>
      <c r="E71" s="87">
        <f>V$63</f>
        <v>168</v>
      </c>
      <c r="F71" s="80" t="s">
        <v>79</v>
      </c>
      <c r="G71" s="81">
        <f>V65</f>
        <v>25</v>
      </c>
      <c r="H71" s="80" t="s">
        <v>80</v>
      </c>
      <c r="I71" s="83">
        <f>(E68-I68)/(1-G71/100)</f>
        <v>0</v>
      </c>
      <c r="J71" s="320" t="s">
        <v>81</v>
      </c>
      <c r="K71" s="84">
        <f>V$58</f>
        <v>7.9</v>
      </c>
      <c r="L71" s="78" t="s">
        <v>82</v>
      </c>
      <c r="M71" s="83">
        <f t="shared" si="48"/>
        <v>0</v>
      </c>
      <c r="N71" s="78" t="s">
        <v>83</v>
      </c>
      <c r="O71" s="116">
        <v>6</v>
      </c>
      <c r="P71" s="78" t="s">
        <v>52</v>
      </c>
      <c r="Q71" s="79">
        <f t="shared" si="50"/>
        <v>0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4"/>
      <c r="AK71" s="4"/>
      <c r="AL71" s="13"/>
    </row>
    <row r="72" spans="1:38" ht="15.75" x14ac:dyDescent="0.4">
      <c r="A72" s="111"/>
      <c r="B72" s="78"/>
      <c r="C72" s="117"/>
      <c r="D72" s="78" t="s">
        <v>85</v>
      </c>
      <c r="E72" s="79">
        <f>E70*E71</f>
        <v>0</v>
      </c>
      <c r="F72" s="82"/>
      <c r="G72" s="82"/>
      <c r="H72" s="82" t="s">
        <v>86</v>
      </c>
      <c r="I72" s="83">
        <f>E69-I69</f>
        <v>0</v>
      </c>
      <c r="J72" s="320" t="s">
        <v>87</v>
      </c>
      <c r="K72" s="84">
        <f>V$59</f>
        <v>7.9</v>
      </c>
      <c r="L72" s="78" t="s">
        <v>88</v>
      </c>
      <c r="M72" s="83">
        <f t="shared" si="48"/>
        <v>0</v>
      </c>
      <c r="N72" s="78" t="s">
        <v>89</v>
      </c>
      <c r="O72" s="116">
        <v>6</v>
      </c>
      <c r="P72" s="78" t="s">
        <v>52</v>
      </c>
      <c r="Q72" s="79">
        <f t="shared" si="50"/>
        <v>0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4"/>
      <c r="AK72" s="4"/>
      <c r="AL72" s="13"/>
    </row>
    <row r="73" spans="1:38" ht="15.75" x14ac:dyDescent="0.4">
      <c r="A73" s="111"/>
      <c r="B73" s="78"/>
      <c r="C73" s="117"/>
      <c r="D73" s="78" t="s">
        <v>91</v>
      </c>
      <c r="E73" s="93">
        <v>9</v>
      </c>
      <c r="F73" s="82"/>
      <c r="G73" s="82"/>
      <c r="H73" s="82" t="s">
        <v>92</v>
      </c>
      <c r="I73" s="83">
        <f>H66/100*K66*C69</f>
        <v>0</v>
      </c>
      <c r="J73" s="320" t="s">
        <v>93</v>
      </c>
      <c r="K73" s="84">
        <f>V$60</f>
        <v>67</v>
      </c>
      <c r="L73" s="78" t="s">
        <v>94</v>
      </c>
      <c r="M73" s="83">
        <f t="shared" si="48"/>
        <v>0</v>
      </c>
      <c r="N73" s="78" t="s">
        <v>95</v>
      </c>
      <c r="O73" s="116">
        <v>13</v>
      </c>
      <c r="P73" s="78" t="s">
        <v>52</v>
      </c>
      <c r="Q73" s="79">
        <f t="shared" si="50"/>
        <v>0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4"/>
      <c r="AK73" s="4"/>
      <c r="AL73" s="13"/>
    </row>
    <row r="74" spans="1:38" ht="16.149999999999999" thickBot="1" x14ac:dyDescent="0.45">
      <c r="A74" s="118"/>
      <c r="B74" s="78"/>
      <c r="C74" s="117"/>
      <c r="D74" s="78" t="s">
        <v>97</v>
      </c>
      <c r="E74" s="79">
        <f>E72/(1+E73/100)</f>
        <v>0</v>
      </c>
      <c r="F74" s="82"/>
      <c r="G74" s="119"/>
      <c r="H74" s="82" t="s">
        <v>98</v>
      </c>
      <c r="I74" s="83">
        <f>(0.016*I66+0.09)/100*K66*12%/85%*2.354*0</f>
        <v>0</v>
      </c>
      <c r="J74" s="320" t="s">
        <v>99</v>
      </c>
      <c r="K74" s="84">
        <f>V$61</f>
        <v>0</v>
      </c>
      <c r="L74" s="78" t="s">
        <v>100</v>
      </c>
      <c r="M74" s="83">
        <f t="shared" si="48"/>
        <v>0</v>
      </c>
      <c r="N74" s="78" t="s">
        <v>101</v>
      </c>
      <c r="O74" s="116">
        <v>13</v>
      </c>
      <c r="P74" s="78" t="s">
        <v>52</v>
      </c>
      <c r="Q74" s="99">
        <f t="shared" si="50"/>
        <v>0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4"/>
      <c r="AK74" s="4"/>
      <c r="AL74" s="13"/>
    </row>
    <row r="75" spans="1:38" ht="17.649999999999999" thickTop="1" thickBot="1" x14ac:dyDescent="0.45">
      <c r="A75" s="14" t="s">
        <v>40</v>
      </c>
      <c r="B75" s="15" t="str">
        <f>$B$112</f>
        <v>东怀</v>
      </c>
      <c r="C75" s="16">
        <f t="shared" ref="C75:C89" si="51">INDEX($B$111:$Q$131,MATCH($B75,$B$111:$B$131,0),MATCH(C$2,$B$111:$Q$111,0))</f>
        <v>2482.3500545256302</v>
      </c>
      <c r="D75" s="17">
        <f t="array" ref="D75">INDEX($B$111:$Q$131,MATCH($B75,$B$111:$B$131,0),COLUMN($D$2)+1)</f>
        <v>0.12292394286379521</v>
      </c>
      <c r="E75" s="18">
        <f>C75*D75</f>
        <v>305.14025627044748</v>
      </c>
      <c r="F75" s="19">
        <f t="shared" ref="F75:I89" si="52">INDEX($B$111:$Q$131,MATCH($B75,$B$111:$B$131,0),MATCH(F$2,$B$111:$Q$111,0))</f>
        <v>9.0500000000000007</v>
      </c>
      <c r="G75" s="19">
        <f t="shared" si="52"/>
        <v>53.753421052631602</v>
      </c>
      <c r="H75" s="19">
        <f t="shared" si="52"/>
        <v>1.5392982456140301</v>
      </c>
      <c r="I75" s="19">
        <f t="shared" si="52"/>
        <v>20.240833333333299</v>
      </c>
      <c r="J75" s="18">
        <f>IFERROR(K75/K90*100,)</f>
        <v>0</v>
      </c>
      <c r="K75" s="20">
        <v>0</v>
      </c>
      <c r="L75" s="18">
        <f t="array" ref="L75">LOOKUP(1,0/($B$111:$B$131=$B75),$L$111:$L$131)</f>
        <v>16.550015999999999</v>
      </c>
      <c r="M75" s="21">
        <v>0</v>
      </c>
      <c r="N75" s="18">
        <f>IF(P75&gt;0,INDEX($B$111:$Z$131,MATCH(B75,$B$111:$B$131,0),MATCH($Z$111,$B$111:$Z$111,0))*C75*K75,C75*D75*K75)</f>
        <v>0</v>
      </c>
      <c r="O75" s="18">
        <f>P75*K75</f>
        <v>0</v>
      </c>
      <c r="P75" s="22">
        <f t="array" ref="P75">INDEX($B$111:$AF$131,MATCH($B75,$B$111:$B$131,0),COLUMN($AA$111)+1)</f>
        <v>19.670000000000002</v>
      </c>
      <c r="Q75" s="18">
        <f>SUM(N75:O75)</f>
        <v>0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4"/>
      <c r="AK75" s="4"/>
      <c r="AL75" s="13"/>
    </row>
    <row r="76" spans="1:38" ht="17.649999999999999" thickTop="1" thickBot="1" x14ac:dyDescent="0.45">
      <c r="A76" s="120" t="s">
        <v>29</v>
      </c>
      <c r="B76" s="30" t="str">
        <f>$B$113</f>
        <v>跃进</v>
      </c>
      <c r="C76" s="31">
        <f t="shared" si="51"/>
        <v>1800</v>
      </c>
      <c r="D76" s="32">
        <f t="array" ref="D76">INDEX($B$111:$Q$131,MATCH($B76,$B$111:$B$131,0),COLUMN($D$2)+1)</f>
        <v>0.11555</v>
      </c>
      <c r="E76" s="33">
        <f t="shared" ref="E76:E89" si="53">C76*D76</f>
        <v>207.99</v>
      </c>
      <c r="F76" s="34">
        <f t="shared" si="52"/>
        <v>9.9</v>
      </c>
      <c r="G76" s="34">
        <f t="shared" si="52"/>
        <v>59.606917129365399</v>
      </c>
      <c r="H76" s="34">
        <f t="shared" si="52"/>
        <v>0.41611229308287101</v>
      </c>
      <c r="I76" s="34">
        <f t="shared" si="52"/>
        <v>16.798780551087098</v>
      </c>
      <c r="J76" s="318">
        <f>IFERROR(K76/K90*100,)</f>
        <v>0</v>
      </c>
      <c r="K76" s="20">
        <v>0</v>
      </c>
      <c r="L76" s="33">
        <v>0</v>
      </c>
      <c r="M76" s="21">
        <v>0</v>
      </c>
      <c r="N76" s="33">
        <f t="shared" ref="N76:N89" si="54">IF(P76&gt;0,INDEX($B$111:$Z$131,MATCH(B76,$B$111:$B$131,0),MATCH($Z$111,$B$111:$Z$111,0))*C76*K76,C76*D76*K76)</f>
        <v>0</v>
      </c>
      <c r="O76" s="33">
        <f t="shared" ref="O76:O89" si="55">P76*K76</f>
        <v>0</v>
      </c>
      <c r="P76" s="35">
        <f t="array" ref="P76">INDEX($B$111:$AF$131,MATCH($B76,$B$111:$B$131,0),COLUMN($AA$111)+1)</f>
        <v>9.99</v>
      </c>
      <c r="Q76" s="33">
        <f t="shared" ref="Q76:Q89" si="56">SUM(N76:O76)</f>
        <v>0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4"/>
      <c r="AK76" s="4"/>
      <c r="AL76" s="13"/>
    </row>
    <row r="77" spans="1:38" ht="17.649999999999999" thickTop="1" thickBot="1" x14ac:dyDescent="0.45">
      <c r="A77" s="275">
        <f>AP343</f>
        <v>0</v>
      </c>
      <c r="B77" s="15" t="str">
        <f>$B$114</f>
        <v>州景</v>
      </c>
      <c r="C77" s="16">
        <f t="shared" si="51"/>
        <v>0</v>
      </c>
      <c r="D77" s="17">
        <f t="array" ref="D77">INDEX($B$111:$Q$131,MATCH($B77,$B$111:$B$131,0),COLUMN($D$2)+1)</f>
        <v>0</v>
      </c>
      <c r="E77" s="18">
        <f t="shared" si="53"/>
        <v>0</v>
      </c>
      <c r="F77" s="19">
        <f t="shared" si="52"/>
        <v>15.680999999999999</v>
      </c>
      <c r="G77" s="19">
        <f t="shared" si="52"/>
        <v>65.22</v>
      </c>
      <c r="H77" s="19">
        <f t="shared" si="52"/>
        <v>0.63</v>
      </c>
      <c r="I77" s="19">
        <f t="shared" si="52"/>
        <v>58.6</v>
      </c>
      <c r="J77" s="18">
        <f>IFERROR(K77/K90*100,)</f>
        <v>0</v>
      </c>
      <c r="K77" s="20">
        <v>0</v>
      </c>
      <c r="L77" s="18">
        <f t="array" ref="L77">LOOKUP(1,0/($B$111:$B$131=$B77),$L$111:$L$131)</f>
        <v>0</v>
      </c>
      <c r="M77" s="21">
        <v>0</v>
      </c>
      <c r="N77" s="18">
        <f t="shared" si="54"/>
        <v>0</v>
      </c>
      <c r="O77" s="18">
        <f t="shared" si="55"/>
        <v>0</v>
      </c>
      <c r="P77" s="22">
        <f t="array" ref="P77">INDEX($B$111:$AF$131,MATCH($B77,$B$111:$B$131,0),COLUMN($AA$111)+1)</f>
        <v>6.01</v>
      </c>
      <c r="Q77" s="18">
        <f t="shared" si="56"/>
        <v>0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4"/>
      <c r="AK77" s="4"/>
      <c r="AL77" s="13"/>
    </row>
    <row r="78" spans="1:38" ht="17.649999999999999" thickTop="1" thickBot="1" x14ac:dyDescent="0.45">
      <c r="A78" s="121" t="s">
        <v>32</v>
      </c>
      <c r="B78" s="30" t="str">
        <f>$B$115</f>
        <v>那荷</v>
      </c>
      <c r="C78" s="31">
        <f t="shared" si="51"/>
        <v>0</v>
      </c>
      <c r="D78" s="32">
        <f t="array" ref="D78">INDEX($B$111:$Q$131,MATCH($B78,$B$111:$B$131,0),COLUMN($D$2)+1)</f>
        <v>0</v>
      </c>
      <c r="E78" s="33">
        <f t="shared" si="53"/>
        <v>0</v>
      </c>
      <c r="F78" s="34">
        <f t="shared" si="52"/>
        <v>8.93</v>
      </c>
      <c r="G78" s="34">
        <f t="shared" si="52"/>
        <v>71.459999999999994</v>
      </c>
      <c r="H78" s="34">
        <f t="shared" si="52"/>
        <v>0.34</v>
      </c>
      <c r="I78" s="34">
        <f t="shared" si="52"/>
        <v>56.85</v>
      </c>
      <c r="J78" s="318">
        <f>IFERROR(K78/K90*100,)</f>
        <v>0</v>
      </c>
      <c r="K78" s="20">
        <v>0</v>
      </c>
      <c r="L78" s="33">
        <v>0</v>
      </c>
      <c r="M78" s="21">
        <v>0</v>
      </c>
      <c r="N78" s="33">
        <f t="shared" si="54"/>
        <v>0</v>
      </c>
      <c r="O78" s="33">
        <f t="shared" si="55"/>
        <v>0</v>
      </c>
      <c r="P78" s="35">
        <f t="array" ref="P78">INDEX($B$111:$AF$131,MATCH($B78,$B$111:$B$131,0),COLUMN($AA$111)+1)</f>
        <v>13.9</v>
      </c>
      <c r="Q78" s="33">
        <f t="shared" si="56"/>
        <v>0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4"/>
      <c r="AK78" s="4"/>
      <c r="AL78" s="13"/>
    </row>
    <row r="79" spans="1:38" ht="17.649999999999999" thickTop="1" thickBot="1" x14ac:dyDescent="0.45">
      <c r="A79" s="122">
        <v>8.8606779293913895</v>
      </c>
      <c r="B79" s="15" t="str">
        <f>$B$116</f>
        <v>褐煤2（云）长协</v>
      </c>
      <c r="C79" s="16">
        <f t="shared" si="51"/>
        <v>2400</v>
      </c>
      <c r="D79" s="17">
        <f t="array" ref="D79">INDEX($B$111:$Q$131,MATCH($B79,$B$111:$B$131,0),COLUMN($D$2)+1)</f>
        <v>0.123</v>
      </c>
      <c r="E79" s="18">
        <f t="shared" si="53"/>
        <v>295.2</v>
      </c>
      <c r="F79" s="19">
        <f t="shared" si="52"/>
        <v>19.2</v>
      </c>
      <c r="G79" s="19">
        <f t="shared" si="52"/>
        <v>32.974564459930299</v>
      </c>
      <c r="H79" s="19">
        <f t="shared" si="52"/>
        <v>0.80500871080139402</v>
      </c>
      <c r="I79" s="19">
        <f t="shared" si="52"/>
        <v>28.483231707317099</v>
      </c>
      <c r="J79" s="18">
        <f>IFERROR(K79/K90*100,)</f>
        <v>0</v>
      </c>
      <c r="K79" s="20">
        <v>0</v>
      </c>
      <c r="L79" s="18">
        <v>0</v>
      </c>
      <c r="M79" s="21">
        <v>0</v>
      </c>
      <c r="N79" s="18">
        <f t="shared" si="54"/>
        <v>0</v>
      </c>
      <c r="O79" s="18">
        <f t="shared" si="55"/>
        <v>0</v>
      </c>
      <c r="P79" s="22">
        <f t="array" ref="P79">INDEX($B$111:$AF$131,MATCH($B79,$B$111:$B$131,0),COLUMN($AA$111)+1)</f>
        <v>0</v>
      </c>
      <c r="Q79" s="18">
        <f t="shared" si="56"/>
        <v>0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4"/>
      <c r="AK79" s="4"/>
      <c r="AL79" s="13"/>
    </row>
    <row r="80" spans="1:38" ht="23.25" thickTop="1" thickBot="1" x14ac:dyDescent="0.45">
      <c r="A80" s="121" t="s">
        <v>35</v>
      </c>
      <c r="B80" s="30" t="str">
        <f>$B$117</f>
        <v>褐煤3（云）长协</v>
      </c>
      <c r="C80" s="31">
        <f t="shared" si="51"/>
        <v>3200</v>
      </c>
      <c r="D80" s="32">
        <f t="array" ref="D80">INDEX($B$111:$Q$131,MATCH($B80,$B$111:$B$131,0),COLUMN($D$2)+1)</f>
        <v>0.13300000000000001</v>
      </c>
      <c r="E80" s="33">
        <f t="shared" si="53"/>
        <v>425.6</v>
      </c>
      <c r="F80" s="34">
        <f t="shared" si="52"/>
        <v>19.149999999999999</v>
      </c>
      <c r="G80" s="34">
        <f t="shared" si="52"/>
        <v>23.8738213399504</v>
      </c>
      <c r="H80" s="34">
        <f t="shared" si="52"/>
        <v>0.84706368899917295</v>
      </c>
      <c r="I80" s="34">
        <f t="shared" si="52"/>
        <v>30.5076674937965</v>
      </c>
      <c r="J80" s="318">
        <f>IFERROR(K80/K90*100,)</f>
        <v>0</v>
      </c>
      <c r="K80" s="20">
        <v>0</v>
      </c>
      <c r="L80" s="33">
        <v>0</v>
      </c>
      <c r="M80" s="21">
        <v>0</v>
      </c>
      <c r="N80" s="33">
        <f t="shared" si="54"/>
        <v>0</v>
      </c>
      <c r="O80" s="33">
        <f t="shared" si="55"/>
        <v>0</v>
      </c>
      <c r="P80" s="35">
        <f t="array" ref="P80">INDEX($B$111:$AF$131,MATCH($B80,$B$111:$B$131,0),COLUMN($AA$111)+1)</f>
        <v>0</v>
      </c>
      <c r="Q80" s="33">
        <f t="shared" si="56"/>
        <v>0</v>
      </c>
      <c r="R80" s="23"/>
      <c r="S80" s="23"/>
      <c r="T80" s="23"/>
      <c r="U80" s="23"/>
      <c r="V80" s="23"/>
      <c r="W80" s="23"/>
      <c r="X80" s="123" t="str">
        <f>[3]采购参数!A1</f>
        <v>2023年10月至2024年12月煤炭采购参数</v>
      </c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4"/>
      <c r="AK80" s="4"/>
      <c r="AL80" s="13"/>
    </row>
    <row r="81" spans="1:38" ht="21" thickTop="1" thickBot="1" x14ac:dyDescent="0.45">
      <c r="A81" s="122">
        <f>AP336</f>
        <v>0</v>
      </c>
      <c r="B81" s="15" t="str">
        <f>$B$118</f>
        <v>褐煤3（云）</v>
      </c>
      <c r="C81" s="16">
        <f t="shared" si="51"/>
        <v>3200</v>
      </c>
      <c r="D81" s="17">
        <f t="array" ref="D81">INDEX($B$111:$Q$131,MATCH($B81,$B$111:$B$131,0),COLUMN($D$2)+1)</f>
        <v>0.1333</v>
      </c>
      <c r="E81" s="18">
        <f t="shared" si="53"/>
        <v>426.56</v>
      </c>
      <c r="F81" s="19">
        <f t="shared" si="52"/>
        <v>19.149999999999999</v>
      </c>
      <c r="G81" s="19">
        <f t="shared" si="52"/>
        <v>23.8738213399504</v>
      </c>
      <c r="H81" s="19">
        <f t="shared" si="52"/>
        <v>0.84706368899917295</v>
      </c>
      <c r="I81" s="19">
        <f t="shared" si="52"/>
        <v>30.5076674937965</v>
      </c>
      <c r="J81" s="18">
        <f>IFERROR(K81/K90*100,)</f>
        <v>0</v>
      </c>
      <c r="K81" s="20">
        <v>0</v>
      </c>
      <c r="L81" s="18">
        <f t="array" ref="L81">LOOKUP(1,0/($B$111:$B$131=$B81),$L$111:$L$131)</f>
        <v>8</v>
      </c>
      <c r="M81" s="21">
        <v>0</v>
      </c>
      <c r="N81" s="18">
        <f t="shared" si="54"/>
        <v>0</v>
      </c>
      <c r="O81" s="18">
        <f t="shared" si="55"/>
        <v>0</v>
      </c>
      <c r="P81" s="22">
        <f t="array" ref="P81">INDEX($B$111:$AF$131,MATCH($B81,$B$111:$B$131,0),COLUMN($AA$111)+1)</f>
        <v>0</v>
      </c>
      <c r="Q81" s="18">
        <f t="shared" si="56"/>
        <v>0</v>
      </c>
      <c r="R81" s="23"/>
      <c r="S81" s="23"/>
      <c r="T81" s="23"/>
      <c r="U81" s="23"/>
      <c r="V81" s="23"/>
      <c r="W81" s="23"/>
      <c r="X81" s="124" t="str">
        <f>[3]采购参数!A2</f>
        <v>田东</v>
      </c>
      <c r="Y81" s="124"/>
      <c r="Z81" s="124"/>
      <c r="AA81" s="124"/>
      <c r="AB81" s="124"/>
      <c r="AC81" s="124"/>
      <c r="AD81" s="124" t="str">
        <f>[3]采购参数!G2</f>
        <v>百矿、银海、德保</v>
      </c>
      <c r="AE81" s="124"/>
      <c r="AF81" s="124"/>
      <c r="AG81" s="124"/>
      <c r="AH81" s="124"/>
      <c r="AI81" s="124"/>
      <c r="AJ81" s="4"/>
      <c r="AK81" s="4"/>
      <c r="AL81" s="13"/>
    </row>
    <row r="82" spans="1:38" ht="27.75" thickTop="1" thickBot="1" x14ac:dyDescent="0.45">
      <c r="A82" s="121" t="s">
        <v>37</v>
      </c>
      <c r="B82" s="30" t="str">
        <f>$B$119</f>
        <v>褐煤32（港1）</v>
      </c>
      <c r="C82" s="31">
        <f t="shared" si="51"/>
        <v>3200</v>
      </c>
      <c r="D82" s="32">
        <f t="array" ref="D82">INDEX($B$111:$Q$131,MATCH($B82,$B$111:$B$131,0),COLUMN($D$2)+1)</f>
        <v>0.16597500000000001</v>
      </c>
      <c r="E82" s="33">
        <f t="shared" si="53"/>
        <v>531.12</v>
      </c>
      <c r="F82" s="34">
        <f t="shared" si="52"/>
        <v>32.112708935028316</v>
      </c>
      <c r="G82" s="34">
        <f t="shared" si="52"/>
        <v>19.443642689832394</v>
      </c>
      <c r="H82" s="34">
        <f t="shared" si="52"/>
        <v>0.77574029122504196</v>
      </c>
      <c r="I82" s="34">
        <f t="shared" si="52"/>
        <v>24.82919018488618</v>
      </c>
      <c r="J82" s="318">
        <f>IFERROR(K82/K90*100,)</f>
        <v>0</v>
      </c>
      <c r="K82" s="20">
        <v>0</v>
      </c>
      <c r="L82" s="33">
        <f t="array" ref="L82">LOOKUP(1,0/($B$111:$B$131=$B82),$L$111:$L$131)</f>
        <v>100</v>
      </c>
      <c r="M82" s="21">
        <v>0</v>
      </c>
      <c r="N82" s="33">
        <f t="shared" si="54"/>
        <v>0</v>
      </c>
      <c r="O82" s="33">
        <f t="shared" si="55"/>
        <v>0</v>
      </c>
      <c r="P82" s="35">
        <f t="array" ref="P82">INDEX($B$111:$AF$131,MATCH($B82,$B$111:$B$131,0),COLUMN($AA$111)+1)</f>
        <v>86.32</v>
      </c>
      <c r="Q82" s="33">
        <f t="shared" si="56"/>
        <v>0</v>
      </c>
      <c r="R82" s="23"/>
      <c r="S82" s="23"/>
      <c r="T82" s="23"/>
      <c r="U82" s="23"/>
      <c r="V82" s="23"/>
      <c r="W82" s="23"/>
      <c r="X82" s="125" t="str">
        <f>[3]采购参数!A3</f>
        <v>煤种</v>
      </c>
      <c r="Y82" s="126" t="s">
        <v>5</v>
      </c>
      <c r="Z82" s="127" t="s">
        <v>8</v>
      </c>
      <c r="AA82" s="127" t="s">
        <v>9</v>
      </c>
      <c r="AB82" s="127" t="s">
        <v>10</v>
      </c>
      <c r="AC82" s="127" t="s">
        <v>11</v>
      </c>
      <c r="AD82" s="125" t="s">
        <v>4</v>
      </c>
      <c r="AE82" s="126" t="s">
        <v>5</v>
      </c>
      <c r="AF82" s="127" t="s">
        <v>8</v>
      </c>
      <c r="AG82" s="127" t="s">
        <v>9</v>
      </c>
      <c r="AH82" s="127" t="s">
        <v>10</v>
      </c>
      <c r="AI82" s="127" t="s">
        <v>11</v>
      </c>
      <c r="AJ82" s="4"/>
      <c r="AK82" s="4"/>
      <c r="AL82" s="13"/>
    </row>
    <row r="83" spans="1:38" ht="17.649999999999999" thickTop="1" thickBot="1" x14ac:dyDescent="0.45">
      <c r="A83" s="122">
        <f>IFERROR((SUMIF($B$75:$B$89,$B$112,$K$75:$K$89)+SUMIF($B$75:$B$89,$B$113,$K$75:$K$89)+SUMIF($B$75:$B$89,$B$114,$K$75:$K$89)+SUMIF($B$75:$B$89,$B$115,$K$75:$K$89))/$K$90*100,)</f>
        <v>0</v>
      </c>
      <c r="B83" s="15" t="str">
        <f>$B$120</f>
        <v>褐煤35（港2）</v>
      </c>
      <c r="C83" s="16">
        <f t="shared" si="51"/>
        <v>3500</v>
      </c>
      <c r="D83" s="17">
        <f t="array" ref="D83">INDEX($B$111:$Q$131,MATCH($B83,$B$111:$B$131,0),COLUMN($D$2)+1)</f>
        <v>0.17056285714285715</v>
      </c>
      <c r="E83" s="18">
        <f t="shared" si="53"/>
        <v>596.97</v>
      </c>
      <c r="F83" s="19">
        <f t="shared" si="52"/>
        <v>29.814058639384577</v>
      </c>
      <c r="G83" s="19">
        <f t="shared" si="52"/>
        <v>17.717185625549313</v>
      </c>
      <c r="H83" s="19">
        <f t="shared" si="52"/>
        <v>0.78167601374394924</v>
      </c>
      <c r="I83" s="19">
        <f t="shared" si="52"/>
        <v>26.875930557064283</v>
      </c>
      <c r="J83" s="18">
        <f>IFERROR(K83/K90*100,)</f>
        <v>0</v>
      </c>
      <c r="K83" s="20">
        <v>0</v>
      </c>
      <c r="L83" s="18">
        <f t="array" ref="L83">LOOKUP(1,0/($B$111:$B$131=$B83),$L$111:$L$131)</f>
        <v>100</v>
      </c>
      <c r="M83" s="21">
        <v>0</v>
      </c>
      <c r="N83" s="18">
        <f t="shared" si="54"/>
        <v>0</v>
      </c>
      <c r="O83" s="18">
        <f t="shared" si="55"/>
        <v>0</v>
      </c>
      <c r="P83" s="22">
        <f t="array" ref="P83">INDEX($B$111:$AF$131,MATCH($B83,$B$111:$B$131,0),COLUMN($AA$111)+1)</f>
        <v>86.32</v>
      </c>
      <c r="Q83" s="18">
        <f t="shared" si="56"/>
        <v>0</v>
      </c>
      <c r="R83" s="23"/>
      <c r="S83" s="23"/>
      <c r="T83" s="23"/>
      <c r="U83" s="23"/>
      <c r="V83" s="23"/>
      <c r="W83" s="23"/>
      <c r="X83" s="128" t="str">
        <f>[3]采购参数!A4</f>
        <v>东怀</v>
      </c>
      <c r="Y83" s="129">
        <f>[3]采购参数!B4</f>
        <v>2349.9772727272698</v>
      </c>
      <c r="Z83" s="130">
        <f>[3]采购参数!C4</f>
        <v>8.68</v>
      </c>
      <c r="AA83" s="130">
        <f>[3]采购参数!D4</f>
        <v>51.35</v>
      </c>
      <c r="AB83" s="130">
        <f>[3]采购参数!E4</f>
        <v>0.83497431883879003</v>
      </c>
      <c r="AC83" s="130">
        <f>[3]采购参数!F4</f>
        <v>55</v>
      </c>
      <c r="AD83" s="128" t="str">
        <f>[3]采购参数!G4</f>
        <v>东怀</v>
      </c>
      <c r="AE83" s="129">
        <f>[3]采购参数!H4</f>
        <v>2349.9772727272698</v>
      </c>
      <c r="AF83" s="130">
        <f>[3]采购参数!I4</f>
        <v>8.68</v>
      </c>
      <c r="AG83" s="130">
        <f>[3]采购参数!J4</f>
        <v>51.35</v>
      </c>
      <c r="AH83" s="130">
        <f>[3]采购参数!K4</f>
        <v>0.83497431883879003</v>
      </c>
      <c r="AI83" s="130">
        <f>[3]采购参数!L4</f>
        <v>55</v>
      </c>
      <c r="AJ83" s="4"/>
      <c r="AK83" s="4"/>
      <c r="AL83" s="13"/>
    </row>
    <row r="84" spans="1:38" ht="17.649999999999999" thickTop="1" thickBot="1" x14ac:dyDescent="0.45">
      <c r="A84" s="122" t="s">
        <v>0</v>
      </c>
      <c r="B84" s="30" t="str">
        <f>$B$121</f>
        <v>褐煤38（港3）</v>
      </c>
      <c r="C84" s="31">
        <f t="shared" si="51"/>
        <v>3800</v>
      </c>
      <c r="D84" s="32">
        <f t="array" ref="D84">INDEX($B$111:$Q$131,MATCH($B84,$B$111:$B$131,0),COLUMN($D$2)+1)</f>
        <v>0.16701578947368423</v>
      </c>
      <c r="E84" s="33">
        <f t="shared" si="53"/>
        <v>634.66000000000008</v>
      </c>
      <c r="F84" s="34">
        <f t="shared" si="52"/>
        <v>34.679691189371134</v>
      </c>
      <c r="G84" s="34">
        <f t="shared" si="52"/>
        <v>8.6727633353557447</v>
      </c>
      <c r="H84" s="34">
        <f t="shared" si="52"/>
        <v>0.82970573383298385</v>
      </c>
      <c r="I84" s="34">
        <f t="shared" si="52"/>
        <v>28.63870628789606</v>
      </c>
      <c r="J84" s="318">
        <f>IFERROR(K84/K90*100,)</f>
        <v>0</v>
      </c>
      <c r="K84" s="20">
        <v>0</v>
      </c>
      <c r="L84" s="33">
        <f t="array" ref="L84">LOOKUP(1,0/($B$111:$B$131=$B84),$L$111:$L$131)</f>
        <v>100</v>
      </c>
      <c r="M84" s="21">
        <v>0</v>
      </c>
      <c r="N84" s="33">
        <f t="shared" si="54"/>
        <v>0</v>
      </c>
      <c r="O84" s="33">
        <f t="shared" si="55"/>
        <v>0</v>
      </c>
      <c r="P84" s="35">
        <f t="array" ref="P84">INDEX($B$111:$AF$131,MATCH($B84,$B$111:$B$131,0),COLUMN($AA$111)+1)</f>
        <v>86.32</v>
      </c>
      <c r="Q84" s="33">
        <f t="shared" si="56"/>
        <v>0</v>
      </c>
      <c r="R84" s="23"/>
      <c r="S84" s="23"/>
      <c r="T84" s="23"/>
      <c r="U84" s="23"/>
      <c r="V84" s="23"/>
      <c r="W84" s="23"/>
      <c r="X84" s="128" t="str">
        <f>[3]采购参数!A5</f>
        <v>跃进</v>
      </c>
      <c r="Y84" s="129">
        <f>[3]采购参数!B5</f>
        <v>1650.068</v>
      </c>
      <c r="Z84" s="130">
        <f>[3]采购参数!C5</f>
        <v>9.3621270541685107</v>
      </c>
      <c r="AA84" s="130">
        <f>[3]采购参数!D5</f>
        <v>61.227066391557997</v>
      </c>
      <c r="AB84" s="130">
        <f>[3]采购参数!E5</f>
        <v>0.35969191635526898</v>
      </c>
      <c r="AC84" s="130">
        <f>[3]采购参数!F5</f>
        <v>55</v>
      </c>
      <c r="AD84" s="128" t="str">
        <f>[3]采购参数!G5</f>
        <v>跃进</v>
      </c>
      <c r="AE84" s="129">
        <f>[3]采购参数!H5</f>
        <v>1650.068</v>
      </c>
      <c r="AF84" s="130">
        <f>[3]采购参数!I5</f>
        <v>9.3621270541685107</v>
      </c>
      <c r="AG84" s="130">
        <f>[3]采购参数!J5</f>
        <v>61.227066391557997</v>
      </c>
      <c r="AH84" s="130">
        <f>[3]采购参数!K5</f>
        <v>0.35969191635526898</v>
      </c>
      <c r="AI84" s="130">
        <f>[3]采购参数!L5</f>
        <v>55</v>
      </c>
      <c r="AJ84" s="4"/>
      <c r="AK84" s="4"/>
      <c r="AL84" s="13"/>
    </row>
    <row r="85" spans="1:38" ht="17.649999999999999" thickTop="1" thickBot="1" x14ac:dyDescent="0.45">
      <c r="A85" s="61">
        <f>C108</f>
        <v>-1038.5816081335786</v>
      </c>
      <c r="B85" s="15" t="str">
        <f>$B$122</f>
        <v>褐煤46</v>
      </c>
      <c r="C85" s="16">
        <f t="shared" si="51"/>
        <v>4600</v>
      </c>
      <c r="D85" s="17">
        <f t="array" ref="D85">INDEX($B$111:$Q$131,MATCH($B85,$B$111:$B$131,0),COLUMN($D$2)+1)</f>
        <v>0.15946521739130434</v>
      </c>
      <c r="E85" s="18">
        <f t="shared" si="53"/>
        <v>733.54</v>
      </c>
      <c r="F85" s="19">
        <f t="shared" si="52"/>
        <v>23.091665258091258</v>
      </c>
      <c r="G85" s="19">
        <f t="shared" si="52"/>
        <v>10.878752304026914</v>
      </c>
      <c r="H85" s="19">
        <f t="shared" si="52"/>
        <v>0.20812534188160234</v>
      </c>
      <c r="I85" s="19">
        <f t="shared" si="52"/>
        <v>32.849464801712827</v>
      </c>
      <c r="J85" s="18">
        <f>IFERROR(K85/K90*100,)</f>
        <v>0</v>
      </c>
      <c r="K85" s="20">
        <v>0</v>
      </c>
      <c r="L85" s="18">
        <f t="array" ref="L85">LOOKUP(1,0/($B$111:$B$131=$B85),$L$111:$L$131)</f>
        <v>100</v>
      </c>
      <c r="M85" s="21">
        <v>0</v>
      </c>
      <c r="N85" s="18">
        <f t="shared" si="54"/>
        <v>0</v>
      </c>
      <c r="O85" s="18">
        <f t="shared" si="55"/>
        <v>0</v>
      </c>
      <c r="P85" s="22">
        <f t="array" ref="P85">INDEX($B$111:$AF$131,MATCH($B85,$B$111:$B$131,0),COLUMN($AA$111)+1)</f>
        <v>86.32</v>
      </c>
      <c r="Q85" s="18">
        <f t="shared" si="56"/>
        <v>0</v>
      </c>
      <c r="R85" s="23"/>
      <c r="S85" s="23"/>
      <c r="T85" s="23"/>
      <c r="U85" s="23"/>
      <c r="V85" s="23"/>
      <c r="W85" s="23"/>
      <c r="X85" s="128" t="str">
        <f>[3]采购参数!A6</f>
        <v>州景</v>
      </c>
      <c r="Y85" s="129">
        <f>[3]采购参数!B6</f>
        <v>1749.9666666666601</v>
      </c>
      <c r="Z85" s="130">
        <f>[3]采购参数!C6</f>
        <v>11.7478900244825</v>
      </c>
      <c r="AA85" s="130">
        <f>[3]采购参数!D6</f>
        <v>53.715896200847602</v>
      </c>
      <c r="AB85" s="130">
        <f>[3]采购参数!E6</f>
        <v>0.52938729645379501</v>
      </c>
      <c r="AC85" s="130">
        <f>[3]采购参数!F6</f>
        <v>55</v>
      </c>
      <c r="AD85" s="128" t="str">
        <f>[3]采购参数!G6</f>
        <v>州景</v>
      </c>
      <c r="AE85" s="129">
        <f>[3]采购参数!H6</f>
        <v>1749.9666666666601</v>
      </c>
      <c r="AF85" s="130">
        <f>[3]采购参数!I6</f>
        <v>11.7478900244825</v>
      </c>
      <c r="AG85" s="130">
        <f>[3]采购参数!J6</f>
        <v>53.715896200847602</v>
      </c>
      <c r="AH85" s="130">
        <f>[3]采购参数!K6</f>
        <v>0.52938729645379501</v>
      </c>
      <c r="AI85" s="130">
        <f>[3]采购参数!L6</f>
        <v>55</v>
      </c>
      <c r="AJ85" s="4"/>
      <c r="AK85" s="4"/>
      <c r="AL85" s="13"/>
    </row>
    <row r="86" spans="1:38" ht="17.649999999999999" thickTop="1" thickBot="1" x14ac:dyDescent="0.45">
      <c r="A86" s="122" t="s">
        <v>39</v>
      </c>
      <c r="B86" s="30" t="str">
        <f>$B$123</f>
        <v>烟煤55</v>
      </c>
      <c r="C86" s="31">
        <f t="shared" si="51"/>
        <v>5500</v>
      </c>
      <c r="D86" s="32">
        <f t="array" ref="D86">INDEX($B$111:$Q$131,MATCH($B86,$B$111:$B$131,0),COLUMN($D$2)+1)</f>
        <v>0.16469454545454545</v>
      </c>
      <c r="E86" s="33">
        <f t="shared" si="53"/>
        <v>905.82</v>
      </c>
      <c r="F86" s="34">
        <f t="shared" si="52"/>
        <v>10.316450637788327</v>
      </c>
      <c r="G86" s="34">
        <f t="shared" si="52"/>
        <v>19.875802288647424</v>
      </c>
      <c r="H86" s="34">
        <f t="shared" si="52"/>
        <v>0.4766377671249582</v>
      </c>
      <c r="I86" s="34">
        <f t="shared" si="52"/>
        <v>25.313893426650807</v>
      </c>
      <c r="J86" s="318">
        <f>IFERROR(K86/K90*100,)</f>
        <v>0</v>
      </c>
      <c r="K86" s="20">
        <v>0</v>
      </c>
      <c r="L86" s="33">
        <f t="array" ref="L86">LOOKUP(1,0/($B$111:$B$131=$B86),$L$111:$L$131)</f>
        <v>100</v>
      </c>
      <c r="M86" s="21">
        <v>0</v>
      </c>
      <c r="N86" s="33">
        <f t="shared" si="54"/>
        <v>0</v>
      </c>
      <c r="O86" s="33">
        <f t="shared" si="55"/>
        <v>0</v>
      </c>
      <c r="P86" s="35">
        <f t="array" ref="P86">INDEX($B$111:$AF$131,MATCH($B86,$B$111:$B$131,0),COLUMN($AA$111)+1)</f>
        <v>86.32</v>
      </c>
      <c r="Q86" s="33">
        <f t="shared" si="56"/>
        <v>0</v>
      </c>
      <c r="R86" s="23"/>
      <c r="S86" s="23"/>
      <c r="T86" s="23"/>
      <c r="U86" s="23"/>
      <c r="V86" s="23"/>
      <c r="W86" s="23"/>
      <c r="X86" s="128" t="str">
        <f>[3]采购参数!A7</f>
        <v>那荷</v>
      </c>
      <c r="Y86" s="129">
        <f>[3]采购参数!B7</f>
        <v>1600</v>
      </c>
      <c r="Z86" s="130">
        <f>[3]采购参数!C7</f>
        <v>8.42904986875104</v>
      </c>
      <c r="AA86" s="130">
        <f>[3]采购参数!D7</f>
        <v>72.872681482988895</v>
      </c>
      <c r="AB86" s="130">
        <f>[3]采购参数!E7</f>
        <v>0.315776184278526</v>
      </c>
      <c r="AC86" s="130">
        <f>[3]采购参数!F7</f>
        <v>55</v>
      </c>
      <c r="AD86" s="128" t="str">
        <f>[3]采购参数!G7</f>
        <v>那荷</v>
      </c>
      <c r="AE86" s="129">
        <f>[3]采购参数!H7</f>
        <v>1600</v>
      </c>
      <c r="AF86" s="130">
        <f>[3]采购参数!I7</f>
        <v>8.42904986875104</v>
      </c>
      <c r="AG86" s="130">
        <f>[3]采购参数!J7</f>
        <v>72.872681482988895</v>
      </c>
      <c r="AH86" s="130">
        <f>[3]采购参数!K7</f>
        <v>0.315776184278526</v>
      </c>
      <c r="AI86" s="130">
        <f>[3]采购参数!L7</f>
        <v>55</v>
      </c>
      <c r="AJ86" s="4"/>
      <c r="AK86" s="4"/>
      <c r="AL86" s="13"/>
    </row>
    <row r="87" spans="1:38" ht="17.649999999999999" thickTop="1" thickBot="1" x14ac:dyDescent="0.45">
      <c r="A87" s="122">
        <f>AP337*100</f>
        <v>0</v>
      </c>
      <c r="B87" s="15" t="str">
        <f>$B$124</f>
        <v>烟煤50备</v>
      </c>
      <c r="C87" s="16">
        <f t="shared" si="51"/>
        <v>5000</v>
      </c>
      <c r="D87" s="17">
        <f t="array" ref="D87">INDEX($B$111:$Q$131,MATCH($B87,$B$111:$B$131,0),COLUMN($D$2)+1)</f>
        <v>0</v>
      </c>
      <c r="E87" s="18">
        <f t="shared" si="53"/>
        <v>0</v>
      </c>
      <c r="F87" s="19">
        <f t="shared" si="52"/>
        <v>0</v>
      </c>
      <c r="G87" s="19">
        <f t="shared" si="52"/>
        <v>0</v>
      </c>
      <c r="H87" s="19">
        <f t="shared" si="52"/>
        <v>0</v>
      </c>
      <c r="I87" s="19">
        <f t="shared" si="52"/>
        <v>0</v>
      </c>
      <c r="J87" s="18">
        <f>IFERROR(K87/K90*100,)</f>
        <v>0</v>
      </c>
      <c r="K87" s="20">
        <v>0</v>
      </c>
      <c r="L87" s="18">
        <v>0</v>
      </c>
      <c r="M87" s="21">
        <v>0</v>
      </c>
      <c r="N87" s="18">
        <f t="shared" si="54"/>
        <v>0</v>
      </c>
      <c r="O87" s="18">
        <f t="shared" si="55"/>
        <v>0</v>
      </c>
      <c r="P87" s="22">
        <f t="array" ref="P87">INDEX($B$111:$AF$131,MATCH($B87,$B$111:$B$131,0),COLUMN($AA$111)+1)</f>
        <v>0</v>
      </c>
      <c r="Q87" s="18">
        <f t="shared" si="56"/>
        <v>0</v>
      </c>
      <c r="R87" s="23"/>
      <c r="S87" s="23"/>
      <c r="T87" s="23"/>
      <c r="U87" s="23"/>
      <c r="V87" s="23"/>
      <c r="W87" s="23"/>
      <c r="X87" s="131" t="str">
        <f>[3]采购参数!A8</f>
        <v>褐煤20-1</v>
      </c>
      <c r="Y87" s="132">
        <f>[3]采购参数!B9</f>
        <v>2000</v>
      </c>
      <c r="Z87" s="133">
        <f>[3]采购参数!C9</f>
        <v>20</v>
      </c>
      <c r="AA87" s="133">
        <f>[3]采购参数!D9</f>
        <v>55</v>
      </c>
      <c r="AB87" s="133">
        <f>[3]采购参数!E9</f>
        <v>1</v>
      </c>
      <c r="AC87" s="133">
        <f>[3]采购参数!F9</f>
        <v>50</v>
      </c>
      <c r="AD87" s="131" t="str">
        <f>[3]采购参数!G8</f>
        <v>褐煤20-1</v>
      </c>
      <c r="AE87" s="134">
        <f>[3]采购参数!H8</f>
        <v>2000</v>
      </c>
      <c r="AF87" s="135">
        <f>[3]采购参数!I8</f>
        <v>55</v>
      </c>
      <c r="AG87" s="135">
        <f>[3]采购参数!J8</f>
        <v>15</v>
      </c>
      <c r="AH87" s="135">
        <f>[3]采购参数!K8</f>
        <v>1</v>
      </c>
      <c r="AI87" s="135">
        <f>[3]采购参数!L8</f>
        <v>30</v>
      </c>
      <c r="AJ87" s="4"/>
      <c r="AK87" s="4"/>
      <c r="AL87" s="13"/>
    </row>
    <row r="88" spans="1:38" ht="17.649999999999999" thickTop="1" thickBot="1" x14ac:dyDescent="0.45">
      <c r="A88" s="122" t="s">
        <v>42</v>
      </c>
      <c r="B88" s="30" t="str">
        <f>$B$125</f>
        <v>烟煤55备</v>
      </c>
      <c r="C88" s="31">
        <f t="shared" si="51"/>
        <v>5500</v>
      </c>
      <c r="D88" s="32">
        <f t="array" ref="D88">INDEX($B$111:$Q$131,MATCH($B88,$B$111:$B$131,0),COLUMN($D$2)+1)</f>
        <v>0</v>
      </c>
      <c r="E88" s="33">
        <f t="shared" si="53"/>
        <v>0</v>
      </c>
      <c r="F88" s="34">
        <f t="shared" si="52"/>
        <v>0</v>
      </c>
      <c r="G88" s="34">
        <f t="shared" si="52"/>
        <v>0</v>
      </c>
      <c r="H88" s="34">
        <f t="shared" si="52"/>
        <v>0</v>
      </c>
      <c r="I88" s="34">
        <f t="shared" si="52"/>
        <v>0</v>
      </c>
      <c r="J88" s="318">
        <f>IFERROR(K88/K90*100,)</f>
        <v>0</v>
      </c>
      <c r="K88" s="20">
        <v>0</v>
      </c>
      <c r="L88" s="33">
        <v>0</v>
      </c>
      <c r="M88" s="21">
        <v>0</v>
      </c>
      <c r="N88" s="33">
        <f t="shared" si="54"/>
        <v>0</v>
      </c>
      <c r="O88" s="33">
        <f t="shared" si="55"/>
        <v>0</v>
      </c>
      <c r="P88" s="35">
        <f t="array" ref="P88">INDEX($B$111:$AF$131,MATCH($B88,$B$111:$B$131,0),COLUMN($AA$111)+1)</f>
        <v>0</v>
      </c>
      <c r="Q88" s="33">
        <f t="shared" si="56"/>
        <v>0</v>
      </c>
      <c r="R88" s="23"/>
      <c r="S88" s="23"/>
      <c r="T88" s="23"/>
      <c r="U88" s="23"/>
      <c r="V88" s="23"/>
      <c r="W88" s="23"/>
      <c r="X88" s="131" t="str">
        <f>[3]采购参数!A9</f>
        <v>褐煤20</v>
      </c>
      <c r="Y88" s="134">
        <f>[3]采购参数!B8</f>
        <v>2000</v>
      </c>
      <c r="Z88" s="135">
        <f>[3]采购参数!C8</f>
        <v>50</v>
      </c>
      <c r="AA88" s="135">
        <f>[3]采购参数!D8</f>
        <v>10</v>
      </c>
      <c r="AB88" s="135">
        <f>[3]采购参数!E8</f>
        <v>0.5</v>
      </c>
      <c r="AC88" s="135">
        <f>[3]采购参数!F8</f>
        <v>30</v>
      </c>
      <c r="AD88" s="131" t="str">
        <f>[3]采购参数!G9</f>
        <v>褐煤20</v>
      </c>
      <c r="AE88" s="134">
        <f>[3]采购参数!H9</f>
        <v>2000</v>
      </c>
      <c r="AF88" s="135">
        <f>[3]采购参数!I9</f>
        <v>35</v>
      </c>
      <c r="AG88" s="135">
        <f>[3]采购参数!J9</f>
        <v>35</v>
      </c>
      <c r="AH88" s="135">
        <f>[3]采购参数!K9</f>
        <v>1.5</v>
      </c>
      <c r="AI88" s="135">
        <f>[3]采购参数!L9</f>
        <v>30</v>
      </c>
      <c r="AJ88" s="4"/>
      <c r="AK88" s="4"/>
      <c r="AL88" s="13"/>
    </row>
    <row r="89" spans="1:38" ht="17.649999999999999" thickTop="1" thickBot="1" x14ac:dyDescent="0.45">
      <c r="A89" s="122">
        <f>AP338</f>
        <v>0</v>
      </c>
      <c r="B89" s="15" t="str">
        <f>$B$127</f>
        <v>石油焦</v>
      </c>
      <c r="C89" s="16">
        <f t="shared" si="51"/>
        <v>7256.4478151694502</v>
      </c>
      <c r="D89" s="17">
        <f t="array" ref="D89">INDEX($B$111:$Q$131,MATCH($B89,$B$111:$B$131,0),COLUMN($D$2)+1)</f>
        <v>0</v>
      </c>
      <c r="E89" s="18">
        <f t="shared" si="53"/>
        <v>0</v>
      </c>
      <c r="F89" s="19">
        <f t="shared" si="52"/>
        <v>0</v>
      </c>
      <c r="G89" s="19">
        <f t="shared" si="52"/>
        <v>0</v>
      </c>
      <c r="H89" s="19">
        <f t="shared" si="52"/>
        <v>0</v>
      </c>
      <c r="I89" s="19">
        <f t="shared" si="52"/>
        <v>0</v>
      </c>
      <c r="J89" s="18">
        <f>IFERROR(K89/K90*100,)</f>
        <v>0</v>
      </c>
      <c r="K89" s="20">
        <v>0</v>
      </c>
      <c r="L89" s="18">
        <v>0</v>
      </c>
      <c r="M89" s="21">
        <v>0</v>
      </c>
      <c r="N89" s="18">
        <f t="shared" si="54"/>
        <v>0</v>
      </c>
      <c r="O89" s="18">
        <f t="shared" si="55"/>
        <v>0</v>
      </c>
      <c r="P89" s="22">
        <f t="array" ref="P89">INDEX($B$111:$AF$131,MATCH($B89,$B$111:$B$131,0),COLUMN($AA$111)+1)</f>
        <v>0</v>
      </c>
      <c r="Q89" s="18">
        <f t="shared" si="56"/>
        <v>0</v>
      </c>
      <c r="R89" s="23"/>
      <c r="S89" s="23"/>
      <c r="T89" s="23"/>
      <c r="U89" s="23"/>
      <c r="V89" s="23"/>
      <c r="W89" s="23"/>
      <c r="X89" s="131" t="str">
        <f>[3]采购参数!A10</f>
        <v>褐煤22</v>
      </c>
      <c r="Y89" s="134">
        <f>[3]采购参数!B10</f>
        <v>2200</v>
      </c>
      <c r="Z89" s="135">
        <f>[3]采购参数!C10</f>
        <v>20</v>
      </c>
      <c r="AA89" s="135">
        <f>[3]采购参数!D10</f>
        <v>50</v>
      </c>
      <c r="AB89" s="135">
        <f>[3]采购参数!E10</f>
        <v>1.5</v>
      </c>
      <c r="AC89" s="135">
        <f>[3]采购参数!F10</f>
        <v>50</v>
      </c>
      <c r="AD89" s="131" t="str">
        <f>[3]采购参数!G10</f>
        <v>褐煤22</v>
      </c>
      <c r="AE89" s="134">
        <f>[3]采购参数!H10</f>
        <v>2200</v>
      </c>
      <c r="AF89" s="135">
        <f>[3]采购参数!I10</f>
        <v>35</v>
      </c>
      <c r="AG89" s="135">
        <f>[3]采购参数!J10</f>
        <v>35</v>
      </c>
      <c r="AH89" s="135">
        <f>[3]采购参数!K10</f>
        <v>1.5</v>
      </c>
      <c r="AI89" s="135">
        <f>[3]采购参数!L10</f>
        <v>30</v>
      </c>
      <c r="AJ89" s="4"/>
      <c r="AK89" s="4"/>
      <c r="AL89" s="13"/>
    </row>
    <row r="90" spans="1:38" ht="16.5" thickTop="1" thickBot="1" x14ac:dyDescent="0.45">
      <c r="A90" s="120"/>
      <c r="B90" s="63" t="s">
        <v>44</v>
      </c>
      <c r="C90" s="64">
        <f>IFERROR(SUMPRODUCT(C75:C89,K75:K89)/SUM(K75:K89),)</f>
        <v>0</v>
      </c>
      <c r="D90" s="65">
        <f>IFERROR(SUMPRODUCT(C75:C89,D75:D89,K75:K89)/SUMPRODUCT(C75:C89,K75:K89),)</f>
        <v>0</v>
      </c>
      <c r="E90" s="64">
        <f>IFERROR(SUMPRODUCT(C75:C89,E75:E89,K75:K89)/SUMPRODUCT(C75:C89,K75:K89),)</f>
        <v>0</v>
      </c>
      <c r="F90" s="64">
        <f>IFERROR(SUMPRODUCT(F75:F89,K75:K89)/SUM(K75:K89),)</f>
        <v>0</v>
      </c>
      <c r="G90" s="64">
        <f>IFERROR(SUMPRODUCT(G75:G89,K75:K89)/SUM(K75:K89),)</f>
        <v>0</v>
      </c>
      <c r="H90" s="64">
        <f>IFERROR(SUMPRODUCT(H75:H89,K75:K89)/SUM(K75:K89),)</f>
        <v>0</v>
      </c>
      <c r="I90" s="64">
        <f>IFERROR(SUMPRODUCT(I75:I89,K75:K89)/SUM(K75:K89),)</f>
        <v>0</v>
      </c>
      <c r="J90" s="64">
        <f>IFERROR(SUM(J75:J89),)</f>
        <v>0</v>
      </c>
      <c r="K90" s="64">
        <f>IFERROR(SUM(K75:K89),)</f>
        <v>0</v>
      </c>
      <c r="L90" s="64">
        <f t="shared" ref="L90" si="57">SUM(L75:L89)</f>
        <v>524.55001600000003</v>
      </c>
      <c r="M90" s="64">
        <f t="shared" ref="M90:O90" si="58">SUM(M75:M89)</f>
        <v>0</v>
      </c>
      <c r="N90" s="64">
        <f t="shared" si="58"/>
        <v>0</v>
      </c>
      <c r="O90" s="64">
        <f t="shared" si="58"/>
        <v>0</v>
      </c>
      <c r="P90" s="64">
        <f>IFERROR(SUMPRODUCT(P75:P89,K75:K89)/SUM(K75:K89),)</f>
        <v>0</v>
      </c>
      <c r="Q90" s="64">
        <f>SUM(Q75:Q89)</f>
        <v>0</v>
      </c>
      <c r="R90" s="64">
        <f>SUM(R75:R89)</f>
        <v>0</v>
      </c>
      <c r="S90" s="23"/>
      <c r="T90" s="23"/>
      <c r="U90" s="23"/>
      <c r="V90" s="23"/>
      <c r="W90" s="23"/>
      <c r="X90" s="131" t="str">
        <f>[3]采购参数!A11</f>
        <v>褐煤25</v>
      </c>
      <c r="Y90" s="134">
        <f>[3]采购参数!B11</f>
        <v>2500</v>
      </c>
      <c r="Z90" s="135">
        <f>[3]采购参数!C11</f>
        <v>20</v>
      </c>
      <c r="AA90" s="135">
        <f>[3]采购参数!D11</f>
        <v>45</v>
      </c>
      <c r="AB90" s="135">
        <f>[3]采购参数!E11</f>
        <v>1.2</v>
      </c>
      <c r="AC90" s="135">
        <f>[3]采购参数!F11</f>
        <v>45</v>
      </c>
      <c r="AD90" s="131" t="str">
        <f>[3]采购参数!G11</f>
        <v>褐煤25</v>
      </c>
      <c r="AE90" s="134">
        <f>[3]采购参数!H11</f>
        <v>2500</v>
      </c>
      <c r="AF90" s="135">
        <f>[3]采购参数!I11</f>
        <v>35</v>
      </c>
      <c r="AG90" s="135">
        <f>[3]采购参数!J11</f>
        <v>35</v>
      </c>
      <c r="AH90" s="135">
        <f>[3]采购参数!K11</f>
        <v>1.5</v>
      </c>
      <c r="AI90" s="135">
        <f>[3]采购参数!L11</f>
        <v>35</v>
      </c>
      <c r="AJ90" s="4"/>
      <c r="AK90" s="4"/>
      <c r="AL90" s="13"/>
    </row>
    <row r="91" spans="1:38" ht="16.5" thickTop="1" thickBot="1" x14ac:dyDescent="0.45">
      <c r="A91" s="121"/>
      <c r="B91" s="68" t="s">
        <v>45</v>
      </c>
      <c r="C91" s="67">
        <f>W$47</f>
        <v>90</v>
      </c>
      <c r="D91" s="68" t="s">
        <v>46</v>
      </c>
      <c r="E91" s="69">
        <f>$K90*$G90/100*C91/100</f>
        <v>0</v>
      </c>
      <c r="F91" s="72" t="s">
        <v>47</v>
      </c>
      <c r="G91" s="71">
        <f>W$51</f>
        <v>88.081889641436206</v>
      </c>
      <c r="H91" s="72" t="s">
        <v>48</v>
      </c>
      <c r="I91" s="73">
        <f>E91*G91/100</f>
        <v>0</v>
      </c>
      <c r="J91" s="68" t="s">
        <v>49</v>
      </c>
      <c r="K91" s="74">
        <f>W$54</f>
        <v>20</v>
      </c>
      <c r="L91" s="68" t="s">
        <v>50</v>
      </c>
      <c r="M91" s="73">
        <f t="shared" ref="M91:M98" si="59">I91*K91</f>
        <v>0</v>
      </c>
      <c r="N91" s="68" t="s">
        <v>51</v>
      </c>
      <c r="O91" s="115">
        <v>13</v>
      </c>
      <c r="P91" s="68" t="s">
        <v>52</v>
      </c>
      <c r="Q91" s="69">
        <f>M91/(1+O91/100)</f>
        <v>0</v>
      </c>
      <c r="R91" s="23"/>
      <c r="S91" s="23"/>
      <c r="T91" s="23"/>
      <c r="U91" s="23"/>
      <c r="V91" s="23"/>
      <c r="W91" s="23"/>
      <c r="X91" s="131" t="str">
        <f>[3]采购参数!A12</f>
        <v>褐煤28</v>
      </c>
      <c r="Y91" s="134">
        <f>[3]采购参数!B12</f>
        <v>2800</v>
      </c>
      <c r="Z91" s="135">
        <f>[3]采购参数!C12</f>
        <v>20</v>
      </c>
      <c r="AA91" s="135">
        <f>[3]采购参数!D12</f>
        <v>45</v>
      </c>
      <c r="AB91" s="135">
        <f>[3]采购参数!E12</f>
        <v>1.2</v>
      </c>
      <c r="AC91" s="135">
        <f>[3]采购参数!F12</f>
        <v>35</v>
      </c>
      <c r="AD91" s="131" t="str">
        <f>[3]采购参数!G12</f>
        <v>褐煤28</v>
      </c>
      <c r="AE91" s="134">
        <f>[3]采购参数!H12</f>
        <v>2800</v>
      </c>
      <c r="AF91" s="135">
        <f>[3]采购参数!I12</f>
        <v>35</v>
      </c>
      <c r="AG91" s="135">
        <f>[3]采购参数!J12</f>
        <v>35</v>
      </c>
      <c r="AH91" s="135">
        <f>[3]采购参数!K12</f>
        <v>1.5</v>
      </c>
      <c r="AI91" s="135">
        <f>[3]采购参数!L12</f>
        <v>35</v>
      </c>
      <c r="AJ91" s="4"/>
      <c r="AK91" s="4"/>
      <c r="AL91" s="13"/>
    </row>
    <row r="92" spans="1:38" ht="16.5" thickTop="1" thickBot="1" x14ac:dyDescent="0.45">
      <c r="A92" s="120"/>
      <c r="B92" s="78" t="s">
        <v>54</v>
      </c>
      <c r="C92" s="77">
        <f>100-C91</f>
        <v>10</v>
      </c>
      <c r="D92" s="78" t="s">
        <v>55</v>
      </c>
      <c r="E92" s="79">
        <f>$K90*$G90/100*C92/100</f>
        <v>0</v>
      </c>
      <c r="F92" s="82" t="s">
        <v>56</v>
      </c>
      <c r="G92" s="81">
        <f>W$52</f>
        <v>92.485984123507905</v>
      </c>
      <c r="H92" s="82" t="s">
        <v>57</v>
      </c>
      <c r="I92" s="83">
        <f t="shared" ref="I92:I93" si="60">E92*G92/100</f>
        <v>0</v>
      </c>
      <c r="J92" s="78" t="s">
        <v>58</v>
      </c>
      <c r="K92" s="84">
        <f>W$55</f>
        <v>0</v>
      </c>
      <c r="L92" s="78" t="s">
        <v>59</v>
      </c>
      <c r="M92" s="83">
        <f t="shared" si="59"/>
        <v>0</v>
      </c>
      <c r="N92" s="78" t="s">
        <v>60</v>
      </c>
      <c r="O92" s="116">
        <v>13</v>
      </c>
      <c r="P92" s="78" t="s">
        <v>52</v>
      </c>
      <c r="Q92" s="79">
        <f t="shared" ref="Q92:Q98" si="61">M92/(1+O92/100)</f>
        <v>0</v>
      </c>
      <c r="R92" s="23"/>
      <c r="S92" s="23"/>
      <c r="T92" s="23"/>
      <c r="U92" s="23"/>
      <c r="V92" s="23"/>
      <c r="W92" s="23"/>
      <c r="X92" s="136" t="str">
        <f>[3]采购参数!A13</f>
        <v>褐煤30</v>
      </c>
      <c r="Y92" s="134">
        <f>[3]采购参数!B13</f>
        <v>3000</v>
      </c>
      <c r="Z92" s="135">
        <f>[3]采购参数!C13</f>
        <v>18</v>
      </c>
      <c r="AA92" s="135">
        <f>[3]采购参数!D13</f>
        <v>45</v>
      </c>
      <c r="AB92" s="135">
        <f>[3]采购参数!E13</f>
        <v>1.2</v>
      </c>
      <c r="AC92" s="135">
        <f>[3]采购参数!F13</f>
        <v>35</v>
      </c>
      <c r="AD92" s="136" t="str">
        <f>[3]采购参数!G13</f>
        <v>褐煤30</v>
      </c>
      <c r="AE92" s="134">
        <f>[3]采购参数!H13</f>
        <v>3000</v>
      </c>
      <c r="AF92" s="135">
        <f>[3]采购参数!I13</f>
        <v>30</v>
      </c>
      <c r="AG92" s="135">
        <f>[3]采购参数!J13</f>
        <v>30</v>
      </c>
      <c r="AH92" s="135">
        <f>[3]采购参数!K13</f>
        <v>1.3</v>
      </c>
      <c r="AI92" s="135">
        <f>[3]采购参数!L13</f>
        <v>35</v>
      </c>
      <c r="AJ92" s="4"/>
      <c r="AK92" s="4"/>
      <c r="AL92" s="13"/>
    </row>
    <row r="93" spans="1:38" ht="16.5" thickTop="1" thickBot="1" x14ac:dyDescent="0.45">
      <c r="A93" s="121"/>
      <c r="B93" s="78" t="s">
        <v>147</v>
      </c>
      <c r="C93" s="87">
        <f>W$49</f>
        <v>1.1067708333333299</v>
      </c>
      <c r="D93" s="78" t="s">
        <v>148</v>
      </c>
      <c r="E93" s="83">
        <f>C94*I97</f>
        <v>0</v>
      </c>
      <c r="F93" s="82" t="s">
        <v>149</v>
      </c>
      <c r="G93" s="81">
        <f>W$53</f>
        <v>98.198125853660599</v>
      </c>
      <c r="H93" s="82" t="s">
        <v>150</v>
      </c>
      <c r="I93" s="83">
        <f t="shared" si="60"/>
        <v>0</v>
      </c>
      <c r="J93" s="78" t="s">
        <v>151</v>
      </c>
      <c r="K93" s="84">
        <f>W$56</f>
        <v>600</v>
      </c>
      <c r="L93" s="78" t="s">
        <v>152</v>
      </c>
      <c r="M93" s="83">
        <f t="shared" si="59"/>
        <v>0</v>
      </c>
      <c r="N93" s="78" t="s">
        <v>67</v>
      </c>
      <c r="O93" s="116">
        <v>13</v>
      </c>
      <c r="P93" s="78" t="s">
        <v>52</v>
      </c>
      <c r="Q93" s="79">
        <f t="shared" si="61"/>
        <v>0</v>
      </c>
      <c r="R93" s="23"/>
      <c r="S93" s="23"/>
      <c r="T93" s="23"/>
      <c r="U93" s="23"/>
      <c r="V93" s="23"/>
      <c r="W93" s="23"/>
      <c r="X93" s="136" t="str">
        <f>[3]采购参数!A14</f>
        <v>褐煤35</v>
      </c>
      <c r="Y93" s="134">
        <f>[3]采购参数!B14</f>
        <v>3500</v>
      </c>
      <c r="Z93" s="135">
        <f>[3]采购参数!C14</f>
        <v>18</v>
      </c>
      <c r="AA93" s="135">
        <f>[3]采购参数!D14</f>
        <v>40</v>
      </c>
      <c r="AB93" s="135">
        <f>[3]采购参数!E14</f>
        <v>1.2</v>
      </c>
      <c r="AC93" s="135">
        <f>[3]采购参数!F14</f>
        <v>35</v>
      </c>
      <c r="AD93" s="136" t="str">
        <f>[3]采购参数!G14</f>
        <v>褐煤35</v>
      </c>
      <c r="AE93" s="134">
        <f>[3]采购参数!H14</f>
        <v>3500</v>
      </c>
      <c r="AF93" s="135">
        <f>[3]采购参数!I14</f>
        <v>30</v>
      </c>
      <c r="AG93" s="135">
        <f>[3]采购参数!J14</f>
        <v>30</v>
      </c>
      <c r="AH93" s="135">
        <f>[3]采购参数!K14</f>
        <v>1.3</v>
      </c>
      <c r="AI93" s="135">
        <f>[3]采购参数!L14</f>
        <v>35</v>
      </c>
      <c r="AJ93" s="4"/>
      <c r="AK93" s="4"/>
      <c r="AL93" s="13"/>
    </row>
    <row r="94" spans="1:38" ht="16.5" thickTop="1" thickBot="1" x14ac:dyDescent="0.45">
      <c r="A94" s="120"/>
      <c r="B94" s="78" t="s">
        <v>153</v>
      </c>
      <c r="C94" s="91">
        <f>W$50</f>
        <v>3.1</v>
      </c>
      <c r="D94" s="78" t="s">
        <v>71</v>
      </c>
      <c r="E94" s="137">
        <f>W$62</f>
        <v>0</v>
      </c>
      <c r="F94" s="80" t="s">
        <v>72</v>
      </c>
      <c r="G94" s="81">
        <f>W64</f>
        <v>20</v>
      </c>
      <c r="H94" s="80" t="s">
        <v>73</v>
      </c>
      <c r="I94" s="83">
        <f>(E91-I91)/(1-G94/100)</f>
        <v>0</v>
      </c>
      <c r="J94" s="78" t="s">
        <v>74</v>
      </c>
      <c r="K94" s="84">
        <f>W$57</f>
        <v>0.9</v>
      </c>
      <c r="L94" s="78" t="s">
        <v>75</v>
      </c>
      <c r="M94" s="83">
        <f t="shared" si="59"/>
        <v>0</v>
      </c>
      <c r="N94" s="78" t="s">
        <v>76</v>
      </c>
      <c r="O94" s="116">
        <v>6</v>
      </c>
      <c r="P94" s="78" t="s">
        <v>52</v>
      </c>
      <c r="Q94" s="79">
        <f t="shared" si="61"/>
        <v>0</v>
      </c>
      <c r="R94" s="23"/>
      <c r="S94" s="23"/>
      <c r="T94" s="23"/>
      <c r="U94" s="23"/>
      <c r="V94" s="23"/>
      <c r="W94" s="23"/>
      <c r="X94" s="138" t="str">
        <f>[3]采购参数!A15</f>
        <v>褐煤40</v>
      </c>
      <c r="Y94" s="134">
        <f>[3]采购参数!B15</f>
        <v>4000</v>
      </c>
      <c r="Z94" s="135">
        <f>[3]采购参数!C15</f>
        <v>18</v>
      </c>
      <c r="AA94" s="135">
        <f>[3]采购参数!D15</f>
        <v>25</v>
      </c>
      <c r="AB94" s="135">
        <f>[3]采购参数!E15</f>
        <v>1</v>
      </c>
      <c r="AC94" s="135">
        <f>[3]采购参数!F15</f>
        <v>35</v>
      </c>
      <c r="AD94" s="138" t="str">
        <f>[3]采购参数!G15</f>
        <v>褐煤40</v>
      </c>
      <c r="AE94" s="134">
        <f>[3]采购参数!H15</f>
        <v>4000</v>
      </c>
      <c r="AF94" s="135">
        <f>[3]采购参数!I15</f>
        <v>20</v>
      </c>
      <c r="AG94" s="135">
        <f>[3]采购参数!J15</f>
        <v>25</v>
      </c>
      <c r="AH94" s="135">
        <f>[3]采购参数!K15</f>
        <v>1</v>
      </c>
      <c r="AI94" s="135">
        <f>[3]采购参数!L15</f>
        <v>35</v>
      </c>
      <c r="AJ94" s="4"/>
      <c r="AK94" s="4"/>
      <c r="AL94" s="13"/>
    </row>
    <row r="95" spans="1:38" ht="16.5" thickTop="1" thickBot="1" x14ac:dyDescent="0.45">
      <c r="A95" s="121"/>
      <c r="B95" s="78"/>
      <c r="C95" s="117"/>
      <c r="D95" s="78" t="s">
        <v>78</v>
      </c>
      <c r="E95" s="137">
        <f>W$63</f>
        <v>168</v>
      </c>
      <c r="F95" s="80" t="s">
        <v>79</v>
      </c>
      <c r="G95" s="81">
        <f>W65</f>
        <v>35</v>
      </c>
      <c r="H95" s="80" t="s">
        <v>80</v>
      </c>
      <c r="I95" s="83">
        <f>(E92-I92)/(1-G95/100)</f>
        <v>0</v>
      </c>
      <c r="J95" s="78" t="s">
        <v>81</v>
      </c>
      <c r="K95" s="84">
        <f>W$58</f>
        <v>0.9</v>
      </c>
      <c r="L95" s="78" t="s">
        <v>82</v>
      </c>
      <c r="M95" s="83">
        <f t="shared" si="59"/>
        <v>0</v>
      </c>
      <c r="N95" s="78" t="s">
        <v>83</v>
      </c>
      <c r="O95" s="116">
        <v>6</v>
      </c>
      <c r="P95" s="78" t="s">
        <v>52</v>
      </c>
      <c r="Q95" s="79">
        <f t="shared" si="61"/>
        <v>0</v>
      </c>
      <c r="R95" s="23"/>
      <c r="S95" s="23"/>
      <c r="T95" s="23"/>
      <c r="U95" s="23"/>
      <c r="V95" s="23"/>
      <c r="W95" s="23"/>
      <c r="X95" s="138" t="str">
        <f>[3]采购参数!A16</f>
        <v>褐煤45</v>
      </c>
      <c r="Y95" s="134">
        <f>[3]采购参数!B16</f>
        <v>4500</v>
      </c>
      <c r="Z95" s="135">
        <f>[3]采购参数!C16</f>
        <v>18</v>
      </c>
      <c r="AA95" s="135">
        <f>[3]采购参数!D16</f>
        <v>25</v>
      </c>
      <c r="AB95" s="135">
        <f>[3]采购参数!E16</f>
        <v>1</v>
      </c>
      <c r="AC95" s="135">
        <f>[3]采购参数!F16</f>
        <v>35</v>
      </c>
      <c r="AD95" s="138" t="str">
        <f>[3]采购参数!G16</f>
        <v>褐煤45</v>
      </c>
      <c r="AE95" s="134">
        <f>[3]采购参数!H16</f>
        <v>4500</v>
      </c>
      <c r="AF95" s="135">
        <f>[3]采购参数!I16</f>
        <v>20</v>
      </c>
      <c r="AG95" s="135">
        <f>[3]采购参数!J16</f>
        <v>25</v>
      </c>
      <c r="AH95" s="135">
        <f>[3]采购参数!K16</f>
        <v>1</v>
      </c>
      <c r="AI95" s="135">
        <f>[3]采购参数!L16</f>
        <v>35</v>
      </c>
      <c r="AJ95" s="4"/>
      <c r="AK95" s="4"/>
      <c r="AL95" s="13"/>
    </row>
    <row r="96" spans="1:38" ht="16.5" thickTop="1" thickBot="1" x14ac:dyDescent="0.45">
      <c r="A96" s="120"/>
      <c r="B96" s="78"/>
      <c r="C96" s="117"/>
      <c r="D96" s="78" t="s">
        <v>85</v>
      </c>
      <c r="E96" s="79">
        <f>E94*E95</f>
        <v>0</v>
      </c>
      <c r="F96" s="78"/>
      <c r="G96" s="78"/>
      <c r="H96" s="78" t="s">
        <v>154</v>
      </c>
      <c r="I96" s="83">
        <f>E93-I93</f>
        <v>0</v>
      </c>
      <c r="J96" s="78" t="s">
        <v>155</v>
      </c>
      <c r="K96" s="84">
        <f>W$59</f>
        <v>0</v>
      </c>
      <c r="L96" s="78" t="s">
        <v>156</v>
      </c>
      <c r="M96" s="83">
        <f t="shared" si="59"/>
        <v>0</v>
      </c>
      <c r="N96" s="78" t="s">
        <v>157</v>
      </c>
      <c r="O96" s="116">
        <v>6</v>
      </c>
      <c r="P96" s="78" t="s">
        <v>52</v>
      </c>
      <c r="Q96" s="79">
        <f t="shared" si="61"/>
        <v>0</v>
      </c>
      <c r="R96" s="23"/>
      <c r="S96" s="23"/>
      <c r="T96" s="23"/>
      <c r="U96" s="23"/>
      <c r="V96" s="23"/>
      <c r="W96" s="23"/>
      <c r="X96" s="139" t="str">
        <f>[3]采购参数!A17</f>
        <v>褐煤50</v>
      </c>
      <c r="Y96" s="134">
        <f>[3]采购参数!B17</f>
        <v>5000</v>
      </c>
      <c r="Z96" s="135">
        <f>[3]采购参数!C17</f>
        <v>12</v>
      </c>
      <c r="AA96" s="135">
        <f>[3]采购参数!D17</f>
        <v>20</v>
      </c>
      <c r="AB96" s="135">
        <f>[3]采购参数!E17</f>
        <v>1</v>
      </c>
      <c r="AC96" s="135">
        <f>[3]采购参数!F17</f>
        <v>35</v>
      </c>
      <c r="AD96" s="139" t="str">
        <f>[3]采购参数!G17</f>
        <v>褐煤50</v>
      </c>
      <c r="AE96" s="134">
        <f>[3]采购参数!H17</f>
        <v>5000</v>
      </c>
      <c r="AF96" s="135">
        <f>[3]采购参数!I17</f>
        <v>12</v>
      </c>
      <c r="AG96" s="135">
        <f>[3]采购参数!J17</f>
        <v>20</v>
      </c>
      <c r="AH96" s="135">
        <f>[3]采购参数!K17</f>
        <v>1</v>
      </c>
      <c r="AI96" s="135">
        <f>[3]采购参数!L17</f>
        <v>35</v>
      </c>
      <c r="AJ96" s="4"/>
      <c r="AK96" s="4"/>
      <c r="AL96" s="13"/>
    </row>
    <row r="97" spans="1:38" ht="16.5" thickTop="1" thickBot="1" x14ac:dyDescent="0.45">
      <c r="A97" s="120"/>
      <c r="B97" s="78"/>
      <c r="C97" s="117"/>
      <c r="D97" s="78" t="s">
        <v>91</v>
      </c>
      <c r="E97" s="93">
        <v>9</v>
      </c>
      <c r="F97" s="78"/>
      <c r="G97" s="78"/>
      <c r="H97" s="78" t="s">
        <v>158</v>
      </c>
      <c r="I97" s="83">
        <f>H90/100*K90*C93</f>
        <v>0</v>
      </c>
      <c r="J97" s="78" t="s">
        <v>159</v>
      </c>
      <c r="K97" s="84">
        <f>W$60</f>
        <v>2950</v>
      </c>
      <c r="L97" s="78" t="s">
        <v>160</v>
      </c>
      <c r="M97" s="83">
        <f t="shared" si="59"/>
        <v>0</v>
      </c>
      <c r="N97" s="78" t="s">
        <v>161</v>
      </c>
      <c r="O97" s="116">
        <v>13</v>
      </c>
      <c r="P97" s="78" t="s">
        <v>52</v>
      </c>
      <c r="Q97" s="79">
        <f t="shared" si="61"/>
        <v>0</v>
      </c>
      <c r="R97" s="23"/>
      <c r="S97" s="23"/>
      <c r="T97" s="23"/>
      <c r="U97" s="23"/>
      <c r="V97" s="23"/>
      <c r="W97" s="23"/>
      <c r="X97" s="139" t="str">
        <f>[3]采购参数!A18</f>
        <v>褐煤55</v>
      </c>
      <c r="Y97" s="134">
        <f>[3]采购参数!B18</f>
        <v>5500</v>
      </c>
      <c r="Z97" s="135">
        <f>[3]采购参数!C18</f>
        <v>12</v>
      </c>
      <c r="AA97" s="135">
        <f>[3]采购参数!D18</f>
        <v>20</v>
      </c>
      <c r="AB97" s="135">
        <f>[3]采购参数!E18</f>
        <v>1</v>
      </c>
      <c r="AC97" s="135">
        <f>[3]采购参数!F18</f>
        <v>35</v>
      </c>
      <c r="AD97" s="139" t="str">
        <f>[3]采购参数!G18</f>
        <v>褐煤55</v>
      </c>
      <c r="AE97" s="134">
        <f>[3]采购参数!H18</f>
        <v>5500</v>
      </c>
      <c r="AF97" s="135">
        <f>[3]采购参数!I18</f>
        <v>12</v>
      </c>
      <c r="AG97" s="135">
        <f>[3]采购参数!J18</f>
        <v>20</v>
      </c>
      <c r="AH97" s="135">
        <f>[3]采购参数!K18</f>
        <v>1</v>
      </c>
      <c r="AI97" s="135">
        <f>[3]采购参数!L18</f>
        <v>35</v>
      </c>
      <c r="AJ97" s="4"/>
      <c r="AK97" s="4"/>
      <c r="AL97" s="13"/>
    </row>
    <row r="98" spans="1:38" ht="16.5" thickTop="1" thickBot="1" x14ac:dyDescent="0.45">
      <c r="A98" s="121"/>
      <c r="B98" s="78"/>
      <c r="C98" s="117"/>
      <c r="D98" s="78" t="s">
        <v>97</v>
      </c>
      <c r="E98" s="79">
        <f>E96/(1+E97/100)</f>
        <v>0</v>
      </c>
      <c r="F98" s="78"/>
      <c r="G98" s="117"/>
      <c r="H98" s="78" t="s">
        <v>98</v>
      </c>
      <c r="I98" s="83">
        <f>(0.016*I90+0.09)/100*K90*12%/85%*2.354*0</f>
        <v>0</v>
      </c>
      <c r="J98" s="78" t="s">
        <v>99</v>
      </c>
      <c r="K98" s="84">
        <f>W$61</f>
        <v>0</v>
      </c>
      <c r="L98" s="78" t="s">
        <v>100</v>
      </c>
      <c r="M98" s="83">
        <f t="shared" si="59"/>
        <v>0</v>
      </c>
      <c r="N98" s="78" t="s">
        <v>101</v>
      </c>
      <c r="O98" s="116">
        <v>13</v>
      </c>
      <c r="P98" s="78" t="s">
        <v>52</v>
      </c>
      <c r="Q98" s="99">
        <f t="shared" si="61"/>
        <v>0</v>
      </c>
      <c r="R98" s="23"/>
      <c r="S98" s="23"/>
      <c r="T98" s="23"/>
      <c r="U98" s="23"/>
      <c r="V98" s="23"/>
      <c r="W98" s="23"/>
      <c r="X98" s="139" t="str">
        <f>[3]采购参数!A19</f>
        <v>烟煤60</v>
      </c>
      <c r="Y98" s="134">
        <f>[3]采购参数!B19</f>
        <v>6000</v>
      </c>
      <c r="Z98" s="135">
        <f>[3]采购参数!C19</f>
        <v>12</v>
      </c>
      <c r="AA98" s="135">
        <f>[3]采购参数!D19</f>
        <v>20</v>
      </c>
      <c r="AB98" s="135">
        <f>[3]采购参数!E19</f>
        <v>1</v>
      </c>
      <c r="AC98" s="135">
        <f>[3]采购参数!F19</f>
        <v>30</v>
      </c>
      <c r="AD98" s="139" t="str">
        <f>[3]采购参数!G19</f>
        <v>烟煤60</v>
      </c>
      <c r="AE98" s="134">
        <f>[3]采购参数!H19</f>
        <v>6000</v>
      </c>
      <c r="AF98" s="135">
        <f>[3]采购参数!I19</f>
        <v>12</v>
      </c>
      <c r="AG98" s="135">
        <f>[3]采购参数!J19</f>
        <v>20</v>
      </c>
      <c r="AH98" s="135">
        <f>[3]采购参数!K19</f>
        <v>1</v>
      </c>
      <c r="AI98" s="135">
        <f>[3]采购参数!L19</f>
        <v>30</v>
      </c>
      <c r="AJ98" s="4"/>
      <c r="AK98" s="4"/>
      <c r="AL98" s="13"/>
    </row>
    <row r="99" spans="1:38" ht="16.5" thickTop="1" thickBot="1" x14ac:dyDescent="0.45">
      <c r="A99" s="140" t="s">
        <v>162</v>
      </c>
      <c r="B99" s="141" t="s">
        <v>44</v>
      </c>
      <c r="C99" s="141">
        <f>(C18*$K18+C42*$K42+C66*$K66+C90*$K90)/($K99)</f>
        <v>2918.3808940867934</v>
      </c>
      <c r="D99" s="141">
        <f>($C18*D18*$K18+$C42*D42*$K42+$C66*D66*$K66+$C90*D90*$K90)/($C18*$K18+$C42*$K42+$C66*$K66+$C90*$K90)</f>
        <v>0.13665808740902091</v>
      </c>
      <c r="E99" s="141">
        <f>($C18*E18*$K18+$C42*E42*$K42+$C66*E66*$K66+$C90*E90*$K90)/($C18*$K18+$C42*$K42+$C66*$K66+$C90*$K90)</f>
        <v>459.46859435017819</v>
      </c>
      <c r="F99" s="142">
        <f>(F18*$K18+F42*$K42+F66*$K66+F90*$K90)/$K99</f>
        <v>15.511524498441311</v>
      </c>
      <c r="G99" s="142">
        <f>(G18*$K18+G42*$K42+G66*$K66+G90*$K90)/$K99</f>
        <v>37.240058702712503</v>
      </c>
      <c r="H99" s="142">
        <f t="shared" ref="H99:J99" si="62">(H18*$K18+H42*$K42+H66*$K66+H90*$K90)/$K99</f>
        <v>0.82876035844735108</v>
      </c>
      <c r="I99" s="142">
        <f t="shared" si="62"/>
        <v>25.398027153518409</v>
      </c>
      <c r="J99" s="141">
        <f t="shared" si="62"/>
        <v>100</v>
      </c>
      <c r="K99" s="141">
        <f>SUM(K18,K42,K66,K90)</f>
        <v>58.930487972534081</v>
      </c>
      <c r="L99" s="141"/>
      <c r="M99" s="141">
        <f>SUM(M18,M42,M66,M90)</f>
        <v>0</v>
      </c>
      <c r="N99" s="141">
        <f t="shared" ref="N99:O99" si="63">SUM(N18,N42,N66,N90)</f>
        <v>21926.896328292514</v>
      </c>
      <c r="O99" s="141">
        <f t="shared" si="63"/>
        <v>1575.7815881916231</v>
      </c>
      <c r="P99" s="141">
        <f t="shared" ref="P99" si="64">(P18*$K18+P42*$K42+P66*$K66+P90*$K90)/$K99</f>
        <v>26.739666383316774</v>
      </c>
      <c r="Q99" s="141">
        <f>SUM(Q18,Q42,Q66,Q90)</f>
        <v>23502.677916484135</v>
      </c>
      <c r="R99" s="23"/>
      <c r="S99" s="23"/>
      <c r="T99" s="23"/>
      <c r="U99" s="23"/>
      <c r="V99" s="23"/>
      <c r="W99" s="23"/>
      <c r="X99" s="143" t="str">
        <f>[3]采购参数!A20</f>
        <v>石油焦</v>
      </c>
      <c r="Y99" s="132">
        <f>[3]采购参数!B20</f>
        <v>7000</v>
      </c>
      <c r="Z99" s="144">
        <f>[3]采购参数!C20</f>
        <v>12</v>
      </c>
      <c r="AA99" s="144">
        <f>[3]采购参数!D20</f>
        <v>5</v>
      </c>
      <c r="AB99" s="144">
        <f>[3]采购参数!E20</f>
        <v>6</v>
      </c>
      <c r="AC99" s="144">
        <f>[3]采购参数!F20</f>
        <v>8</v>
      </c>
      <c r="AD99" s="143" t="str">
        <f>[3]采购参数!G20</f>
        <v>石油焦</v>
      </c>
      <c r="AE99" s="134">
        <f>[3]采购参数!H20</f>
        <v>7000</v>
      </c>
      <c r="AF99" s="135">
        <f>[3]采购参数!I20</f>
        <v>12</v>
      </c>
      <c r="AG99" s="135">
        <f>[3]采购参数!J20</f>
        <v>5</v>
      </c>
      <c r="AH99" s="135">
        <f>[3]采购参数!K20</f>
        <v>6</v>
      </c>
      <c r="AI99" s="145">
        <f>[3]采购参数!L20</f>
        <v>8</v>
      </c>
      <c r="AJ99" s="4"/>
      <c r="AK99" s="4"/>
      <c r="AL99" s="13"/>
    </row>
    <row r="100" spans="1:38" ht="15.75" thickTop="1" thickBot="1" x14ac:dyDescent="0.45">
      <c r="A100" s="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4"/>
      <c r="AK100" s="4"/>
      <c r="AL100" s="13"/>
    </row>
    <row r="101" spans="1:38" ht="15.75" x14ac:dyDescent="0.4">
      <c r="A101" s="294" t="s">
        <v>3</v>
      </c>
      <c r="B101" s="296" t="s">
        <v>29</v>
      </c>
      <c r="C101" s="298" t="s">
        <v>163</v>
      </c>
      <c r="D101" s="300" t="s">
        <v>164</v>
      </c>
      <c r="E101" s="300"/>
      <c r="F101" s="300"/>
      <c r="G101" s="300"/>
      <c r="H101" s="300"/>
      <c r="I101" s="281" t="s">
        <v>165</v>
      </c>
      <c r="J101" s="281" t="s">
        <v>166</v>
      </c>
      <c r="K101" s="281" t="s">
        <v>167</v>
      </c>
      <c r="L101" s="282" t="s">
        <v>168</v>
      </c>
      <c r="M101" s="283"/>
      <c r="N101" s="284"/>
      <c r="O101" s="285" t="s">
        <v>169</v>
      </c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6"/>
      <c r="AE101" s="286"/>
      <c r="AF101" s="286"/>
      <c r="AG101" s="286"/>
      <c r="AH101" s="286"/>
      <c r="AI101" s="287"/>
      <c r="AJ101" s="4"/>
      <c r="AK101" s="4"/>
      <c r="AL101" s="13"/>
    </row>
    <row r="102" spans="1:38" ht="15.75" x14ac:dyDescent="0.4">
      <c r="A102" s="295"/>
      <c r="B102" s="297"/>
      <c r="C102" s="299"/>
      <c r="D102" s="301"/>
      <c r="E102" s="301"/>
      <c r="F102" s="146" t="s">
        <v>170</v>
      </c>
      <c r="G102" s="302" t="s">
        <v>171</v>
      </c>
      <c r="H102" s="302"/>
      <c r="I102" s="280"/>
      <c r="J102" s="280"/>
      <c r="K102" s="280"/>
      <c r="L102" s="289" t="s">
        <v>33</v>
      </c>
      <c r="M102" s="292" t="s">
        <v>172</v>
      </c>
      <c r="N102" s="292" t="s">
        <v>173</v>
      </c>
      <c r="O102" s="293" t="s">
        <v>33</v>
      </c>
      <c r="P102" s="288" t="s">
        <v>174</v>
      </c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8"/>
      <c r="AE102" s="149"/>
      <c r="AF102" s="276" t="s">
        <v>175</v>
      </c>
      <c r="AG102" s="277"/>
      <c r="AH102" s="277"/>
      <c r="AI102" s="278"/>
      <c r="AJ102" s="4"/>
      <c r="AK102" s="4"/>
      <c r="AL102" s="13"/>
    </row>
    <row r="103" spans="1:38" ht="15.75" x14ac:dyDescent="0.4">
      <c r="A103" s="295"/>
      <c r="B103" s="297"/>
      <c r="C103" s="299"/>
      <c r="D103" s="146" t="s">
        <v>176</v>
      </c>
      <c r="E103" s="146" t="s">
        <v>177</v>
      </c>
      <c r="F103" s="146" t="s">
        <v>178</v>
      </c>
      <c r="G103" s="150" t="s">
        <v>176</v>
      </c>
      <c r="H103" s="146" t="s">
        <v>177</v>
      </c>
      <c r="I103" s="280"/>
      <c r="J103" s="280"/>
      <c r="K103" s="280"/>
      <c r="L103" s="290"/>
      <c r="M103" s="292"/>
      <c r="N103" s="292"/>
      <c r="O103" s="293"/>
      <c r="P103" s="279" t="s">
        <v>179</v>
      </c>
      <c r="Q103" s="151" t="s">
        <v>180</v>
      </c>
      <c r="R103" s="151" t="s">
        <v>31</v>
      </c>
      <c r="S103" s="280" t="s">
        <v>181</v>
      </c>
      <c r="T103" s="147" t="s">
        <v>182</v>
      </c>
      <c r="U103" s="147" t="s">
        <v>183</v>
      </c>
      <c r="V103" s="147" t="s">
        <v>184</v>
      </c>
      <c r="W103" s="147" t="s">
        <v>185</v>
      </c>
      <c r="X103" s="147" t="s">
        <v>186</v>
      </c>
      <c r="Y103" s="147" t="s">
        <v>187</v>
      </c>
      <c r="Z103" s="152" t="s">
        <v>188</v>
      </c>
      <c r="AA103" s="146" t="s">
        <v>189</v>
      </c>
      <c r="AB103" s="146" t="s">
        <v>190</v>
      </c>
      <c r="AC103" s="146" t="s">
        <v>191</v>
      </c>
      <c r="AD103" s="146" t="s">
        <v>192</v>
      </c>
      <c r="AE103" s="146" t="s">
        <v>193</v>
      </c>
      <c r="AF103" s="146" t="s">
        <v>194</v>
      </c>
      <c r="AG103" s="146" t="s">
        <v>195</v>
      </c>
      <c r="AH103" s="146" t="s">
        <v>196</v>
      </c>
      <c r="AI103" s="146" t="s">
        <v>197</v>
      </c>
      <c r="AJ103" s="153"/>
      <c r="AK103" s="153"/>
      <c r="AL103" s="154"/>
    </row>
    <row r="104" spans="1:38" ht="13.9" customHeight="1" x14ac:dyDescent="0.4">
      <c r="A104" s="295"/>
      <c r="B104" s="146" t="s">
        <v>198</v>
      </c>
      <c r="C104" s="146" t="s">
        <v>133</v>
      </c>
      <c r="D104" s="146" t="s">
        <v>199</v>
      </c>
      <c r="E104" s="146" t="s">
        <v>199</v>
      </c>
      <c r="F104" s="146" t="s">
        <v>199</v>
      </c>
      <c r="G104" s="146" t="s">
        <v>199</v>
      </c>
      <c r="H104" s="146" t="s">
        <v>199</v>
      </c>
      <c r="I104" s="146" t="s">
        <v>198</v>
      </c>
      <c r="J104" s="146" t="s">
        <v>200</v>
      </c>
      <c r="K104" s="146" t="s">
        <v>199</v>
      </c>
      <c r="L104" s="291"/>
      <c r="M104" s="146" t="s">
        <v>133</v>
      </c>
      <c r="N104" s="146" t="s">
        <v>133</v>
      </c>
      <c r="O104" s="293"/>
      <c r="P104" s="279"/>
      <c r="Q104" s="146" t="s">
        <v>133</v>
      </c>
      <c r="R104" s="146" t="s">
        <v>133</v>
      </c>
      <c r="S104" s="280"/>
      <c r="T104" s="146" t="s">
        <v>133</v>
      </c>
      <c r="U104" s="146" t="s">
        <v>133</v>
      </c>
      <c r="V104" s="146" t="s">
        <v>133</v>
      </c>
      <c r="W104" s="146" t="s">
        <v>133</v>
      </c>
      <c r="X104" s="146" t="s">
        <v>133</v>
      </c>
      <c r="Y104" s="146" t="s">
        <v>133</v>
      </c>
      <c r="Z104" s="146" t="s">
        <v>133</v>
      </c>
      <c r="AA104" s="146" t="s">
        <v>133</v>
      </c>
      <c r="AB104" s="146" t="s">
        <v>133</v>
      </c>
      <c r="AC104" s="146" t="s">
        <v>133</v>
      </c>
      <c r="AD104" s="146" t="s">
        <v>133</v>
      </c>
      <c r="AE104" s="146" t="s">
        <v>133</v>
      </c>
      <c r="AF104" s="146" t="s">
        <v>133</v>
      </c>
      <c r="AG104" s="146" t="s">
        <v>133</v>
      </c>
      <c r="AH104" s="146" t="s">
        <v>133</v>
      </c>
      <c r="AI104" s="146" t="s">
        <v>133</v>
      </c>
      <c r="AJ104" s="153"/>
      <c r="AK104" s="153"/>
      <c r="AL104" s="154"/>
    </row>
    <row r="105" spans="1:38" ht="13.9" customHeight="1" x14ac:dyDescent="0.4">
      <c r="A105" s="155" t="s">
        <v>201</v>
      </c>
      <c r="B105" s="156">
        <f>A5</f>
        <v>42169.720730397414</v>
      </c>
      <c r="C105" s="157">
        <f>L105-O105</f>
        <v>5540.3191656712279</v>
      </c>
      <c r="D105" s="158">
        <f>E105*1.13</f>
        <v>0.42706927617222323</v>
      </c>
      <c r="E105" s="158">
        <f>O105/$I105</f>
        <v>0.37793741254179053</v>
      </c>
      <c r="F105" s="159">
        <f>E105-H105</f>
        <v>0.10003374321018382</v>
      </c>
      <c r="G105" s="158">
        <f>H105*1.13</f>
        <v>0.31403114634471557</v>
      </c>
      <c r="H105" s="158">
        <f>P105/$I105</f>
        <v>0.27790366933160671</v>
      </c>
      <c r="I105" s="156">
        <f>IFERROR(B105*(1-J105/100),)</f>
        <v>39599.379298095322</v>
      </c>
      <c r="J105" s="160">
        <f>A7</f>
        <v>6.09522991327115</v>
      </c>
      <c r="K105" s="158">
        <f>INDEX('[3]电力-指标'!$A$3:$X$99,17,MATCH($A$1,'[3]电力-指标'!$A$3:$X$3,0))</f>
        <v>0.58743307386723997</v>
      </c>
      <c r="L105" s="157">
        <f>SUM(M105:N105)</f>
        <v>20506.406115854319</v>
      </c>
      <c r="M105" s="161">
        <f>I105*K105/1.13</f>
        <v>20585.827525942375</v>
      </c>
      <c r="N105" s="157">
        <f>SUM(Q19:Q21)+E26</f>
        <v>-79.42141008805514</v>
      </c>
      <c r="O105" s="157">
        <f t="shared" ref="O105:O108" si="65">SUM(P105,S105)+Z105+AA105+AB105+AC105+AD105+AE105+AF105+AG105+AH105+AI105</f>
        <v>14966.086950183091</v>
      </c>
      <c r="P105" s="162">
        <f>SUM(Q105:R105)</f>
        <v>11004.812810194755</v>
      </c>
      <c r="Q105" s="161">
        <f>(SUMIF(B3:B17,B112,N3:N17)+SUMIF(B3:B17,B113,N3:N17)+SUMIF(B3:B17,B114,N3:N17)+SUMIF(B3:B17,B115,N3:N17))/1.13+(SUMIF(B3:B17,B111,O3:O17)+SUMIF(B3:B17,B112,O3:O17)+SUMIF(B3:B17,B113,O3:O17)+SUMIF(B3:B17,B114,O3:O17)+SUMIF(B3:B17,B115,O3:O17))/1.09</f>
        <v>6353.0274586559035</v>
      </c>
      <c r="R105" s="161">
        <f>(SUMIF(B3:B17,B116,N3:N17)+SUMIF($B$3:$B$17,$B$117,$N$3:$N$17)+SUMIF($B$3:$B$17,$B$118,$N$3:$N$17)+SUMIF($B$3:$B$17,$B$119,$N$3:$N$17)+SUMIF($B$3:$B$17,$B$120,$N$3:$N$17)+SUMIF($B$3:$B$17,$B$121,$N$3:$N$17)+SUMIF($B$3:$B$17,$B$122,$N$3:$N$17)+SUMIF($B$3:$B$17,$B$123,$N$3:$N$17)+SUMIF($B$3:$B$17,$B$124,$N$3:$N$17)+SUMIF($B$3:$B$17,$B$125,$N$3:$N$17)+SUMIF($B$3:$B$17,$B$126,$N$3:$N$17)+SUMIF($B$3:$B$17,$B$127,$N$3:$N$17)+SUMIF($B$3:$B$17,$B$128,$N$3:$N$17)+SUMIF($B$3:$B$17,$B$129,$N$3:$N$17)+SUMIF($B$3:$B$17,$B$130,$N$3:$N$17))/1.13+(SUMIF($B$3:$B$17,$B$116,$O$3:$O$17)+SUMIF($B$3:$B$17,$B$117,$O$3:$O$17)+SUMIF($B$3:$B$17,$B$118,$O$3:$O$17)+SUMIF($B$3:$B$17,$B$119,$O$3:$O$17)+SUMIF($B$3:$B$17,$B$120,$O$3:$O$17)+SUMIF($B$3:$B$17,$B$121,$O$3:$O$17)+SUMIF($B$3:$B$17,$B$122,$O$3:$O$17)+SUMIF($B$3:$B$17,$B$123,$O$3:$O$17)+SUMIF($B$3:$B$17,$B$124,$O$3:$O$17)+SUMIF($B$3:$B$17,$B$125,$O$3:$O$17)+SUMIF($B$3:$B$17,$B$126,$O$3:$O$17)+SUMIF($B$3:$B$17,$B$127,$O$3:$O$17)+SUMIF($B$3:$B$17,$B$128,$O$3:$O$17)+SUMIF($B$3:$B$17,$B$129,$O$3:$O$17)+SUMIF($B$3:$B$17,$B$130,$O$3:$O$17))/1.09</f>
        <v>4651.7853515388506</v>
      </c>
      <c r="S105" s="161">
        <f>SUM(T105:Y105)</f>
        <v>220.36094894150386</v>
      </c>
      <c r="T105" s="161">
        <f>Q25</f>
        <v>80.547257720977186</v>
      </c>
      <c r="U105" s="161"/>
      <c r="V105" s="161">
        <f>Q26</f>
        <v>0</v>
      </c>
      <c r="W105" s="161">
        <f>[3]百矿电厂02表!$AA$297/10000</f>
        <v>38.053097345132699</v>
      </c>
      <c r="X105" s="161">
        <f>[3]百矿电厂02表!$AA$298/10000</f>
        <v>0</v>
      </c>
      <c r="Y105" s="161">
        <f>SUM(Q22:Q24)</f>
        <v>101.76059387539398</v>
      </c>
      <c r="Z105" s="161">
        <f>[3]百矿电厂02表!$AA$295/10000</f>
        <v>64.469057522123904</v>
      </c>
      <c r="AA105" s="161">
        <f>[3]百矿电厂02表!$AA$296/10000</f>
        <v>17.617249999999999</v>
      </c>
      <c r="AB105" s="161">
        <f>[3]百矿电厂02表!$AA$115/10000</f>
        <v>467.807166666667</v>
      </c>
      <c r="AC105" s="161">
        <f>([3]百矿电厂02表!$AA$57-SUM([3]百矿电厂02表!$AA$59:$AA$66,[3]百矿电厂02表!$AA$67,[3]百矿电厂02表!$AA$98:$AA$105,[3]百矿电厂02表!$AA$115,[3]百矿电厂02表!$AA$145:$AA$148))/10000-Y105</f>
        <v>579.55888079485828</v>
      </c>
      <c r="AD105" s="161">
        <f>([3]百矿电厂02表!$AA$149-SUM([3]百矿电厂02表!$AA$150:$AA$157,[3]百矿电厂02表!$AA$197:$AA$199))/10000</f>
        <v>55.178911281710725</v>
      </c>
      <c r="AE105" s="161">
        <f>SUM([3]百矿电厂02表!$AA$59:$AA$66,[3]百矿电厂02表!$AA$98:$AA$105,[3]百矿电厂02表!$AA$150:$AA$157)/10000</f>
        <v>551.95115066666676</v>
      </c>
      <c r="AF105" s="161">
        <f>SUM([3]百矿电厂02表!$AA$145:$AA$147,[3]百矿电厂02表!$AA$197:$AA$199)/10000</f>
        <v>1023.9488677513901</v>
      </c>
      <c r="AG105" s="161">
        <f>[3]百矿电厂02表!$AA$261/10000</f>
        <v>694.34777809836896</v>
      </c>
      <c r="AH105" s="161">
        <f>[3]百矿电厂02表!$AA$248/10000</f>
        <v>229.87605959837703</v>
      </c>
      <c r="AI105" s="161">
        <f>[3]百矿电厂02表!$AA$148/10000</f>
        <v>56.158068666666701</v>
      </c>
      <c r="AJ105" s="163"/>
      <c r="AK105" s="163"/>
      <c r="AL105" s="164"/>
    </row>
    <row r="106" spans="1:38" ht="15.75" x14ac:dyDescent="0.4">
      <c r="A106" s="165" t="s">
        <v>202</v>
      </c>
      <c r="B106" s="166">
        <f>A29</f>
        <v>38174.131480491713</v>
      </c>
      <c r="C106" s="84">
        <f t="shared" ref="C106:C108" si="66">L106-O106</f>
        <v>4396.9912409313729</v>
      </c>
      <c r="D106" s="167">
        <f t="shared" ref="D106:D109" si="67">E106*1.13</f>
        <v>0.44539152420335898</v>
      </c>
      <c r="E106" s="167">
        <f t="shared" ref="E106:E109" si="68">O106/$I106</f>
        <v>0.39415179133040623</v>
      </c>
      <c r="F106" s="168">
        <f t="shared" ref="F106:F109" si="69">E106-H106</f>
        <v>0.11903124950929805</v>
      </c>
      <c r="G106" s="167">
        <f t="shared" ref="G106:G109" si="70">H106*1.13</f>
        <v>0.31088621225785223</v>
      </c>
      <c r="H106" s="167">
        <f t="shared" ref="H106:H109" si="71">P106/$I106</f>
        <v>0.27512054182110818</v>
      </c>
      <c r="I106" s="166">
        <f t="shared" ref="I106:I108" si="72">IFERROR(B106*(1-J106/100),)</f>
        <v>35785.010237153612</v>
      </c>
      <c r="J106" s="148">
        <f>A31</f>
        <v>6.25848225141422</v>
      </c>
      <c r="K106" s="167">
        <f>INDEX('[3]电力-指标'!$A$3:$X$99,20,MATCH($A$1,'[3]电力-指标'!$A$3:$X$3,0))</f>
        <v>0.58647004744209996</v>
      </c>
      <c r="L106" s="84">
        <f t="shared" ref="L106:L108" si="73">SUM(M106:N106)</f>
        <v>18501.717128682394</v>
      </c>
      <c r="M106" s="87">
        <f t="shared" ref="M106:M108" si="74">I106*K106/1.13</f>
        <v>18572.421815486294</v>
      </c>
      <c r="N106" s="84">
        <f>SUM(Q43:Q45)+E50</f>
        <v>-70.704686803899619</v>
      </c>
      <c r="O106" s="157">
        <f t="shared" si="65"/>
        <v>14104.725887751021</v>
      </c>
      <c r="P106" s="169">
        <f t="shared" ref="P106:P108" si="75">SUM(Q106:R106)</f>
        <v>9845.1914055196048</v>
      </c>
      <c r="Q106" s="87">
        <f>(SUMIF(B27:B41,B112,N27:N41)+SUMIF(B27:B41,B113,N27:N41)+SUMIF(B27:B41,B114,N27:N41)+SUMIF(B27:B41,B115,N27:N41))/1.13+(SUMIF(B27:B41,B112,O27:O41)+SUMIF(B27:B41,B113,O27:O41)+SUMIF(B27:B41,B114,O27:O41)+SUMIF(B27:B41,B115,O27:O41))/1.09</f>
        <v>0</v>
      </c>
      <c r="R106" s="87">
        <f>(SUMIF($B$27:$B$41,B116,N27:N41)+SUMIF($B$27:$B$41,$B$117,$N$27:$N$41)+SUMIF($B$27:$B$41,$B$118,$N$27:$N$41)+SUMIF($B$27:$B$41,$B$119,$N$27:$N$41)+SUMIF($B$27:$B$41,$B$120,$N$27:$N$41)+SUMIF($B$27:$B$41,$B$121,$N$27:$N$41)+SUMIF($B$27:$B$41,$B$122,$N$27:$N$41)+SUMIF($B$27:$B$41,$B$123,$N$27:$N$41)+SUMIF($B$27:$B$41,$B$124,$N$27:$N$41)+SUMIF($B$27:$B$41,$B$125,$N$27:$N$41)+SUMIF($B$27:$B$41,$B$126,$N$27:$N$41)+SUMIF($B$27:$B$41,$B$127,$N$27:$N$41)+SUMIF($B$27:$B$41,$B$128,$N$27:$N$41)+SUMIF($B$27:$B$41,$B$129,$N$27:$N$41)+SUMIF($B$27:$B$41,$B$130,$N$27:$N$41))/1.13+(SUMIF($B$27:$B$41,$B$116,$O$27:$O$41)+SUMIF($B$27:$B$41,$B$117,$O$27:$O$41)+SUMIF($B$27:$B$41,$B$118,$O$27:$O$41)+SUMIF($B$27:$B$41,$B$119,$O$27:$O$41)+SUMIF($B$27:$B$41,$B$120,$O$27:$O$41)+SUMIF($B$27:$B$41,$B$121,$O$27:$O$41)+SUMIF($B$27:$B$41,$B$122,$O$27:$O$41)+SUMIF($B$27:$B$41,$B$123,$O$27:$O$41)+SUMIF($B$27:$B$41,$B$124,$O$27:$O$41)+SUMIF($B$27:$B$41,$B$125,$O$27:$O$41)+SUMIF($B$27:$B$41,$B$126,$O$27:$O$41)+SUMIF($B$27:$B$41,$B$127,$O$27:$O$41)+SUMIF($B$27:$B$41,$B$128,$O$27:$O$41)+SUMIF($B$27:$B$41,$B$129,$O$27:$O$41)+SUMIF($B$27:$B$41,$B$130,$O$27:$O$41))/1.09</f>
        <v>9845.1914055196048</v>
      </c>
      <c r="S106" s="87">
        <f t="shared" ref="S106:S108" si="76">SUM(T106:Y106)</f>
        <v>282.46357062473788</v>
      </c>
      <c r="T106" s="87">
        <f>Q49</f>
        <v>21.851260218038071</v>
      </c>
      <c r="U106" s="87"/>
      <c r="V106" s="87">
        <f>Q50</f>
        <v>63.090469950933979</v>
      </c>
      <c r="W106" s="161">
        <f>[3]德保电厂02表!$AA$297/10000</f>
        <v>0</v>
      </c>
      <c r="X106" s="161">
        <f>[3]德保电厂02表!$AA$298/10000</f>
        <v>22.123893805309699</v>
      </c>
      <c r="Y106" s="87">
        <f>SUM(Q46:Q48)</f>
        <v>175.39794665045613</v>
      </c>
      <c r="Z106" s="161">
        <f>[3]德保电厂02表!$AA$295/10000</f>
        <v>31.5</v>
      </c>
      <c r="AA106" s="161">
        <f>[3]德保电厂02表!$AA$296/10000</f>
        <v>200.15274336283201</v>
      </c>
      <c r="AB106" s="161">
        <f>[3]德保电厂02表!$AA$115/10000</f>
        <v>674.58420000000001</v>
      </c>
      <c r="AC106" s="161">
        <f>([3]德保电厂02表!$AA$57-SUM([3]德保电厂02表!$AA$59:$AA$66,[3]德保电厂02表!$AA$67,[3]德保电厂02表!$AA$98:$AA$105,[3]德保电厂02表!$AA$115,[3]德保电厂02表!$AA$145:$AA$148))/10000-Y106</f>
        <v>265.49070050456203</v>
      </c>
      <c r="AD106" s="161">
        <f>([3]德保电厂02表!$AA$149-SUM([3]德保电厂02表!$AA$150:$AA$157,[3]德保电厂02表!$AA$197:$AA$199))/10000</f>
        <v>146.49880123333327</v>
      </c>
      <c r="AE106" s="161">
        <f>SUM([3]德保电厂02表!$AA$59:$AA$66,[3]德保电厂02表!$AA$98:$AA$105,[3]德保电厂02表!$AA$150:$AA$157)/10000</f>
        <v>438.28840199999996</v>
      </c>
      <c r="AF106" s="161">
        <f>SUM([3]德保电厂02表!$AA$145:$AA$147,[3]德保电厂02表!$AA$197:$AA$199)/10000</f>
        <v>983.92548801066164</v>
      </c>
      <c r="AG106" s="161">
        <f>[3]德保电厂02表!$AA$261/10000</f>
        <v>1063.59586532551</v>
      </c>
      <c r="AH106" s="161">
        <f>[3]德保电厂02表!$AA$248/10000</f>
        <v>110.34824328089201</v>
      </c>
      <c r="AI106" s="161">
        <f>[3]德保电厂02表!$AA$148/10000</f>
        <v>62.686467888888906</v>
      </c>
      <c r="AJ106" s="163"/>
      <c r="AK106" s="163"/>
      <c r="AL106" s="164"/>
    </row>
    <row r="107" spans="1:38" ht="15.75" x14ac:dyDescent="0.4">
      <c r="A107" s="155" t="s">
        <v>203</v>
      </c>
      <c r="B107" s="156">
        <f>A53</f>
        <v>0</v>
      </c>
      <c r="C107" s="157">
        <f t="shared" si="66"/>
        <v>-2190.1722032607349</v>
      </c>
      <c r="D107" s="158">
        <f t="shared" si="67"/>
        <v>0</v>
      </c>
      <c r="E107" s="158">
        <f t="shared" ref="E107:E108" si="77">IFERROR(O107/$I107,)</f>
        <v>0</v>
      </c>
      <c r="F107" s="159">
        <f t="shared" si="69"/>
        <v>0</v>
      </c>
      <c r="G107" s="158">
        <f t="shared" si="70"/>
        <v>0</v>
      </c>
      <c r="H107" s="158">
        <f t="shared" ref="H107:H108" si="78">IFERROR(P107/$I107,)</f>
        <v>0</v>
      </c>
      <c r="I107" s="156">
        <f t="shared" si="72"/>
        <v>0</v>
      </c>
      <c r="J107" s="160">
        <f>A55</f>
        <v>9.0735471918340806</v>
      </c>
      <c r="K107" s="158">
        <f>INDEX('[3]电力-指标'!$A$3:$X$99,18,MATCH($A$1,'[3]电力-指标'!$A$3:$X$3,0))</f>
        <v>0.59</v>
      </c>
      <c r="L107" s="157">
        <f t="shared" si="73"/>
        <v>0</v>
      </c>
      <c r="M107" s="161">
        <f t="shared" si="74"/>
        <v>0</v>
      </c>
      <c r="N107" s="157">
        <f>SUM(Q67:Q69)+E74</f>
        <v>0</v>
      </c>
      <c r="O107" s="157">
        <f t="shared" si="65"/>
        <v>2190.1722032607349</v>
      </c>
      <c r="P107" s="162">
        <f t="shared" si="75"/>
        <v>0</v>
      </c>
      <c r="Q107" s="161">
        <f>(SUMIF(B51:B65,B112,N51:N65)+SUMIF(B51:B65,B113,N51:N65)+SUMIF(B51:B65,B114,N51:N65)+SUMIF(B51:B65,B115,N51:N65))/1.13+(SUMIF(B51:B65,B112,O51:O65)+SUMIF(B51:B65,B113,O51:O65)+SUMIF(B51:B65,B114,O51:O65)+SUMIF(B51:B65,B115,O51:O65))/1.09</f>
        <v>0</v>
      </c>
      <c r="R107" s="161">
        <f>(SUMIF($B$51:$B$65,$B$116,$N$51:$N$65)+SUMIF($B$51:$B$65,$B$117,$N$51:$N$65)+SUMIF($B$51:$B$65,$B$118,$N$51:$N$65)+SUMIF($B$51:$B$65,$B$119,$N$51:$N$65)+SUMIF($B$51:$B$65,$B$120,$N$51:$N$65)+SUMIF($B$51:$B$65,$B$121,$N$51:$N$65)+SUMIF($B$51:$B$65,$B$122,$N$51:$N$65)+SUMIF($B$51:$B$65,$B$123,$N$51:$N$65)+SUMIF($B$51:$B$65,$B$124,$N$51:$N$65)+SUMIF($B$51:$B$65,$B$125,$N$51:$N$65)+SUMIF($B$51:$B$65,$B$126,$N$51:$N$65)+SUMIF($B$51:$B$65,$B$127,$N$51:$N$65)+SUMIF($B$51:$B$65,$B$128,$N$51:$N$65)+SUMIF($B$51:$B$65,$B$129,$N$51:$N$65)+SUMIF($B$51:$B$65,$B$130,$N$51:$N$65))/1.13+(SUMIF($B$51:$B$65,$B$116,$O$51:$O$65)+SUMIF($B$51:$B$65,$B$117,$O$51:$O$65)+SUMIF($B$51:$B$65,$B$118,$O$51:$O$65)+SUMIF($B$51:$B$65,$B$119,$O$51:$O$65)+SUMIF($B$51:$B$65,$B$120,$O$51:$O$65)+SUMIF($B$51:$B$65,$B$121,$O$51:$O$65)+SUMIF($B$51:$B$65,$B$122,$O$51:$O$65)+SUMIF($B$51:$B$65,$B$123,$O$51:$O$65)+SUMIF($B$51:$B$65,$B$124,$O$51:$O$65)+SUMIF($B$51:$B$65,$B$125,$O$51:$O$65)+SUMIF($B$51:$B$65,$B$126,$O$51:$O$65)+SUMIF($B$51:$B$65,$B$127,$O$51:$O$65)+SUMIF($B$51:$B$65,$B$128,$O$51:$O$65)+SUMIF($B$51:$B$65,$B$129,$O$51:$O$65)+SUMIF($B$51:$B$65,$B$130,$O$51:$O$65))/1.09</f>
        <v>0</v>
      </c>
      <c r="S107" s="161">
        <f t="shared" si="76"/>
        <v>0</v>
      </c>
      <c r="T107" s="161">
        <f>Q73</f>
        <v>0</v>
      </c>
      <c r="U107" s="161"/>
      <c r="V107" s="161">
        <f>Q74</f>
        <v>0</v>
      </c>
      <c r="W107" s="161">
        <f>[3]银海电厂02表!$AA$297/10000</f>
        <v>0</v>
      </c>
      <c r="X107" s="161">
        <f>[3]银海电厂02表!$AA$298/10000</f>
        <v>0</v>
      </c>
      <c r="Y107" s="161">
        <f>SUM(Q70:Q72)</f>
        <v>0</v>
      </c>
      <c r="Z107" s="161">
        <f>[3]银海电厂02表!$AA$295/10000</f>
        <v>9.4484999999999992</v>
      </c>
      <c r="AA107" s="161">
        <f>[3]银海电厂02表!$AA$296/10000</f>
        <v>0</v>
      </c>
      <c r="AB107" s="161">
        <f>[3]银海电厂02表!$AA$115/10000</f>
        <v>815.62833333333299</v>
      </c>
      <c r="AC107" s="161">
        <f>([3]银海电厂02表!$AA$57-SUM([3]银海电厂02表!$AA$59:$AA$66,[3]银海电厂02表!$AA$67,[3]银海电厂02表!$AA$98:$AA$105,[3]银海电厂02表!$AA$115,[3]银海电厂02表!$AA$145:$AA$148))/10000-Y107</f>
        <v>249.5504833839789</v>
      </c>
      <c r="AD107" s="161">
        <f>([3]银海电厂02表!$AA$149-SUM([3]银海电厂02表!$AA$150:$AA$157,[3]银海电厂02表!$AA$197:$AA$199))/10000</f>
        <v>74.350062277627998</v>
      </c>
      <c r="AE107" s="161">
        <f>SUM([3]银海电厂02表!$AA$59:$AA$66,[3]银海电厂02表!$AA$98:$AA$105,[3]银海电厂02表!$AA$150:$AA$157)/10000</f>
        <v>269.18791600000003</v>
      </c>
      <c r="AF107" s="161">
        <f>SUM([3]银海电厂02表!$AA$145:$AA$147,[3]银海电厂02表!$AA$197:$AA$199)/10000</f>
        <v>514.63761722222193</v>
      </c>
      <c r="AG107" s="161">
        <f>[3]银海电厂02表!$AA$261/10000</f>
        <v>52.086565</v>
      </c>
      <c r="AH107" s="161">
        <f>[3]银海电厂02表!$AA$248/10000</f>
        <v>145.27140528885602</v>
      </c>
      <c r="AI107" s="161">
        <f>[3]银海电厂02表!$AA$148/10000</f>
        <v>60.011320754716998</v>
      </c>
      <c r="AJ107" s="163"/>
      <c r="AK107" s="163"/>
      <c r="AL107" s="164"/>
    </row>
    <row r="108" spans="1:38" ht="15.75" x14ac:dyDescent="0.4">
      <c r="A108" s="165" t="s">
        <v>204</v>
      </c>
      <c r="B108" s="166">
        <f>A77</f>
        <v>0</v>
      </c>
      <c r="C108" s="84">
        <f t="shared" si="66"/>
        <v>-1038.5816081335786</v>
      </c>
      <c r="D108" s="314">
        <f t="shared" si="67"/>
        <v>0</v>
      </c>
      <c r="E108" s="314">
        <f t="shared" si="77"/>
        <v>0</v>
      </c>
      <c r="F108" s="315">
        <f t="shared" si="69"/>
        <v>0</v>
      </c>
      <c r="G108" s="314">
        <f t="shared" si="70"/>
        <v>0</v>
      </c>
      <c r="H108" s="314">
        <f t="shared" si="78"/>
        <v>0</v>
      </c>
      <c r="I108" s="316">
        <f t="shared" si="72"/>
        <v>0</v>
      </c>
      <c r="J108" s="317">
        <f>A79</f>
        <v>8.8606779293913895</v>
      </c>
      <c r="K108" s="167">
        <f>INDEX('[3]电力-指标'!$A$3:$X$99,19,MATCH($A$1,'[3]电力-指标'!$A$3:$X$3,0))</f>
        <v>0.59088772872992101</v>
      </c>
      <c r="L108" s="84">
        <f t="shared" si="73"/>
        <v>0</v>
      </c>
      <c r="M108" s="87">
        <f t="shared" si="74"/>
        <v>0</v>
      </c>
      <c r="N108" s="84">
        <f>SUM(Q91:Q93)+E98</f>
        <v>0</v>
      </c>
      <c r="O108" s="157">
        <f t="shared" si="65"/>
        <v>1038.5816081335786</v>
      </c>
      <c r="P108" s="169">
        <f t="shared" si="75"/>
        <v>0</v>
      </c>
      <c r="Q108" s="87">
        <f>(SUMIF(B75:B89,B112,N75:N89)+SUMIF(B75:B89,B113,N75:N89)+SUMIF(B75:B89,B114,N75:N89)+SUMIF(B75:B89,B115,N75:N89))/1.13+(SUMIF(B75:B89,B112,O75:O89)+SUMIF(B75:B89,B113,O75:O89)+SUMIF(B75:B89,B114,O75:O89)+SUMIF(B75:B89,B115,O75:O89))/1.09</f>
        <v>0</v>
      </c>
      <c r="R108" s="87">
        <f>(SUMIF($B$75:$B$89,$B$116,$N$75:$N$89)+SUMIF($B$75:$B$89,$B$117,$N$75:$N$89)+SUMIF($B$75:$B$89,$B$118,$N$75:$N$89)+SUMIF($B$75:$B$89,$B$119,$N$75:$N$89)+SUMIF($B$75:$B$89,$B$120,$N$75:$N$89)+SUMIF($B$75:$B$89,$B$121,$N$75:$N$89)+SUMIF($B$75:$B$89,$B$122,$N$75:$N$89)+SUMIF($B$75:$B$89,$B$123,$N$75:$N$89)+SUMIF($B$75:$B$89,$B$124,$N$75:$N$89)+SUMIF($B$75:$B$89,$B$125,$N$75:$N$89)+SUMIF($B$75:$B$89,$B$126,$N$75:$N$89)+SUMIF($B$75:$B$89,$B$127,$N$75:$N$89)+SUMIF($B$75:$B$89,$B$128,$N$75:$N$89)+SUMIF($B$75:$B$89,$B$129,$N$75:$N$89)+SUMIF($B$75:$B$89,$B$130,$N$75:$N$89))/1.13+(SUMIF($B$75:$B$89,$B$116,$O$75:$O$89)+SUMIF($B$75:$B$89,$B$117,$O$75:$O$89)+SUMIF($B$75:$B$89,$B$118,$O$75:$O$89)+SUMIF($B$75:$B$89,$B$119,$O$75:$O$89)+SUMIF($B$75:$B$89,$B$120,$O$75:$O$89)+SUMIF($B$75:$B$89,$B$121,$O$75:$O$89)+SUMIF($B$75:$B$89,$B$122,$O$75:$O$89)+SUMIF($B$75:$B$89,$B$123,$O$75:$O$89)+SUMIF($B$75:$B$89,$B$124,$O$75:$O$89)+SUMIF($B$75:$B$89,$B$125,$O$75:$O$89)+SUMIF($B$75:$B$89,$B$126,$O$75:$O$89)+SUMIF($B$75:$B$89,$B$127,$O$75:$O$89)+SUMIF($B$75:$B$89,$B$128,$O$75:$O$89)+SUMIF($B$75:$B$89,$B$129,$O$75:$O$89)+SUMIF($B$75:$B$89,$B$130,$O$75:$O$89))/1.09</f>
        <v>0</v>
      </c>
      <c r="S108" s="87">
        <f t="shared" si="76"/>
        <v>14.867256637168099</v>
      </c>
      <c r="T108" s="87"/>
      <c r="U108" s="87">
        <f>Q97</f>
        <v>0</v>
      </c>
      <c r="V108" s="87">
        <f>Q98</f>
        <v>0</v>
      </c>
      <c r="W108" s="161">
        <f>[3]田东电厂02表!$AA$297/10000</f>
        <v>14.867256637168099</v>
      </c>
      <c r="X108" s="161">
        <f>[3]田东电厂02表!$AA$298/10000</f>
        <v>0</v>
      </c>
      <c r="Y108" s="87">
        <f>SUM(Q94:Q96)</f>
        <v>0</v>
      </c>
      <c r="Z108" s="161">
        <f>[3]田东电厂02表!$AA$295/10000</f>
        <v>26.910228403244599</v>
      </c>
      <c r="AA108" s="161">
        <f>[3]田东电厂02表!$AA$296/10000</f>
        <v>58.317762979350903</v>
      </c>
      <c r="AB108" s="161">
        <f>[3]田东电厂02表!$AA$115/10000</f>
        <v>8.8333329999999997</v>
      </c>
      <c r="AC108" s="161">
        <f>([3]田东电厂02表!$AA$57-SUM([3]田东电厂02表!$AA$59:$AA$66,[3]田东电厂02表!$AA$67,[3]田东电厂02表!$AA$98:$AA$105,[3]田东电厂02表!$AA$115,[3]田东电厂02表!$AA$145:$AA$148))/10000-Y108</f>
        <v>93.004195630636815</v>
      </c>
      <c r="AD108" s="161">
        <f>([3]田东电厂02表!$AA$149-SUM([3]田东电厂02表!$AA$150:$AA$157,[3]田东电厂02表!$AA$197:$AA$199))/10000</f>
        <v>31.205224333333643</v>
      </c>
      <c r="AE108" s="161">
        <f>SUM([3]田东电厂02表!$AA$59:$AA$66,[3]田东电厂02表!$AA$98:$AA$105,[3]田东电厂02表!$AA$150:$AA$157)/10000</f>
        <v>381.80206133333326</v>
      </c>
      <c r="AF108" s="161">
        <f>SUM([3]田东电厂02表!$AA$145:$AA$147,[3]田东电厂02表!$AA$197:$AA$199)/10000</f>
        <v>192.33357850000002</v>
      </c>
      <c r="AG108" s="161">
        <f>[3]田东电厂02表!$AA$261/10000</f>
        <v>21.308</v>
      </c>
      <c r="AH108" s="161">
        <f>[3]田东电厂02表!$AA$248/10000</f>
        <v>155.989778637266</v>
      </c>
      <c r="AI108" s="161">
        <f>[3]田东电厂02表!$AA$148/10000</f>
        <v>54.010188679245303</v>
      </c>
      <c r="AJ108" s="163"/>
      <c r="AK108" s="163"/>
      <c r="AL108" s="164"/>
    </row>
    <row r="109" spans="1:38" ht="16.149999999999999" thickBot="1" x14ac:dyDescent="0.45">
      <c r="A109" s="170" t="s">
        <v>205</v>
      </c>
      <c r="B109" s="171">
        <f>SUM(B105:B108)</f>
        <v>80343.852210889134</v>
      </c>
      <c r="C109" s="172">
        <f>SUM(C105:C108)</f>
        <v>6708.556595208287</v>
      </c>
      <c r="D109" s="173">
        <f t="shared" si="67"/>
        <v>0.48416536286567402</v>
      </c>
      <c r="E109" s="173">
        <f t="shared" si="68"/>
        <v>0.42846492288997706</v>
      </c>
      <c r="F109" s="174">
        <f t="shared" si="69"/>
        <v>0.151882405683744</v>
      </c>
      <c r="G109" s="173">
        <f t="shared" si="70"/>
        <v>0.31253824444304334</v>
      </c>
      <c r="H109" s="173">
        <f t="shared" si="71"/>
        <v>0.27658251720623306</v>
      </c>
      <c r="I109" s="171">
        <f>SUM(I105:I108)</f>
        <v>75384.389535248934</v>
      </c>
      <c r="J109" s="175">
        <f>SUMPRODUCT(J105:J108,$B$105:$B$108)/$B$109</f>
        <v>6.172796722047174</v>
      </c>
      <c r="K109" s="173">
        <f>SUMPRODUCT(K105:K108,$B$105:$B$108)/$B$109</f>
        <v>0.58697550684299526</v>
      </c>
      <c r="L109" s="176">
        <f>SUM(L105:L108)</f>
        <v>39008.123244536713</v>
      </c>
      <c r="M109" s="176">
        <f>SUM(M105:M108)</f>
        <v>39158.249341428673</v>
      </c>
      <c r="N109" s="176">
        <f>SUM(N105:N108)</f>
        <v>-150.12609689195477</v>
      </c>
      <c r="O109" s="177">
        <f t="shared" ref="O109:AK109" si="79">SUM(O105:O108)</f>
        <v>32299.56664932843</v>
      </c>
      <c r="P109" s="177">
        <f t="shared" si="79"/>
        <v>20850.004215714362</v>
      </c>
      <c r="Q109" s="177">
        <f t="shared" si="79"/>
        <v>6353.0274586559035</v>
      </c>
      <c r="R109" s="177">
        <f t="shared" si="79"/>
        <v>14496.976757058455</v>
      </c>
      <c r="S109" s="177">
        <f t="shared" si="79"/>
        <v>517.69177620340986</v>
      </c>
      <c r="T109" s="177">
        <f t="shared" si="79"/>
        <v>102.39851793901525</v>
      </c>
      <c r="U109" s="177">
        <f t="shared" si="79"/>
        <v>0</v>
      </c>
      <c r="V109" s="177">
        <f t="shared" si="79"/>
        <v>63.090469950933979</v>
      </c>
      <c r="W109" s="176">
        <f t="shared" si="79"/>
        <v>52.920353982300796</v>
      </c>
      <c r="X109" s="176">
        <f t="shared" si="79"/>
        <v>22.123893805309699</v>
      </c>
      <c r="Y109" s="177">
        <f t="shared" si="79"/>
        <v>277.15854052585013</v>
      </c>
      <c r="Z109" s="177">
        <f t="shared" si="79"/>
        <v>132.32778592536849</v>
      </c>
      <c r="AA109" s="177">
        <f t="shared" si="79"/>
        <v>276.0877563421829</v>
      </c>
      <c r="AB109" s="177">
        <f t="shared" si="79"/>
        <v>1966.8530329999999</v>
      </c>
      <c r="AC109" s="177">
        <f t="shared" si="79"/>
        <v>1187.6042603140361</v>
      </c>
      <c r="AD109" s="177">
        <f t="shared" si="79"/>
        <v>307.23299912600567</v>
      </c>
      <c r="AE109" s="177">
        <f t="shared" si="79"/>
        <v>1641.2295300000001</v>
      </c>
      <c r="AF109" s="177">
        <f t="shared" si="79"/>
        <v>2714.8455514842735</v>
      </c>
      <c r="AG109" s="177">
        <f t="shared" si="79"/>
        <v>1831.338208423879</v>
      </c>
      <c r="AH109" s="177">
        <f t="shared" si="79"/>
        <v>641.48548680539102</v>
      </c>
      <c r="AI109" s="177">
        <f t="shared" si="79"/>
        <v>232.86604598951789</v>
      </c>
      <c r="AJ109" s="178">
        <f t="shared" si="79"/>
        <v>0</v>
      </c>
      <c r="AK109" s="178">
        <f t="shared" si="79"/>
        <v>0</v>
      </c>
      <c r="AL109" s="179"/>
    </row>
    <row r="110" spans="1:38" ht="15.4" thickBot="1" x14ac:dyDescent="0.45">
      <c r="A110" s="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4"/>
      <c r="AK110" s="4"/>
      <c r="AL110" s="13"/>
    </row>
    <row r="111" spans="1:38" ht="16.5" thickTop="1" thickBot="1" x14ac:dyDescent="0.45">
      <c r="A111" s="4"/>
      <c r="B111" s="106" t="s">
        <v>4</v>
      </c>
      <c r="C111" s="106" t="s">
        <v>5</v>
      </c>
      <c r="D111" s="180" t="s">
        <v>6</v>
      </c>
      <c r="E111" s="181" t="s">
        <v>6</v>
      </c>
      <c r="F111" s="182" t="s">
        <v>6</v>
      </c>
      <c r="G111" s="106" t="s">
        <v>332</v>
      </c>
      <c r="H111" s="106" t="s">
        <v>333</v>
      </c>
      <c r="I111" s="106" t="s">
        <v>334</v>
      </c>
      <c r="J111" s="106" t="s">
        <v>335</v>
      </c>
      <c r="K111" s="183" t="s">
        <v>13</v>
      </c>
      <c r="L111" s="183" t="s">
        <v>14</v>
      </c>
      <c r="M111" s="183" t="s">
        <v>15</v>
      </c>
      <c r="N111" s="184" t="s">
        <v>16</v>
      </c>
      <c r="O111" s="184" t="s">
        <v>17</v>
      </c>
      <c r="P111" s="183" t="s">
        <v>206</v>
      </c>
      <c r="Q111" s="184" t="s">
        <v>19</v>
      </c>
      <c r="R111" s="140" t="s">
        <v>207</v>
      </c>
      <c r="S111" s="140" t="s">
        <v>208</v>
      </c>
      <c r="T111" s="140" t="s">
        <v>209</v>
      </c>
      <c r="U111" s="140" t="s">
        <v>210</v>
      </c>
      <c r="V111" s="183" t="s">
        <v>14</v>
      </c>
      <c r="W111" s="183" t="s">
        <v>211</v>
      </c>
      <c r="X111" s="183" t="s">
        <v>212</v>
      </c>
      <c r="Y111" s="23"/>
      <c r="Z111" s="185" t="s">
        <v>213</v>
      </c>
      <c r="AA111" s="186" t="s">
        <v>214</v>
      </c>
      <c r="AB111" s="186" t="s">
        <v>215</v>
      </c>
      <c r="AC111" s="186" t="s">
        <v>216</v>
      </c>
      <c r="AD111" s="23"/>
      <c r="AE111" s="23"/>
      <c r="AF111" s="23"/>
      <c r="AG111" s="23"/>
      <c r="AH111" s="23"/>
      <c r="AI111" s="23"/>
      <c r="AJ111" s="4"/>
      <c r="AK111" s="4"/>
      <c r="AL111" s="13"/>
    </row>
    <row r="112" spans="1:38" ht="16.5" thickTop="1" thickBot="1" x14ac:dyDescent="0.45">
      <c r="A112" s="4"/>
      <c r="B112" s="187" t="s">
        <v>103</v>
      </c>
      <c r="C112" s="188">
        <v>2482.3500545256302</v>
      </c>
      <c r="D112" s="321">
        <f>IFERROR($Z112+AA112/$C112,)</f>
        <v>0.12049076467887793</v>
      </c>
      <c r="E112" s="321">
        <f t="shared" ref="E112:F112" si="80">IFERROR($Z112+AB112/$C112,)</f>
        <v>0.12909954246226904</v>
      </c>
      <c r="F112" s="321">
        <f t="shared" si="80"/>
        <v>0.12292394286379521</v>
      </c>
      <c r="G112" s="189">
        <v>9.0500000000000007</v>
      </c>
      <c r="H112" s="189">
        <v>53.753421052631602</v>
      </c>
      <c r="I112" s="189">
        <v>1.5392982456140301</v>
      </c>
      <c r="J112" s="189">
        <v>20.240833333333299</v>
      </c>
      <c r="K112" s="190">
        <f t="shared" ref="K112:K130" si="81">SUMIF($B$2:$B$98,$B112,$K$2:$K$98)</f>
        <v>16.550015999999999</v>
      </c>
      <c r="L112" s="191">
        <v>16.550015999999999</v>
      </c>
      <c r="M112" s="191">
        <f t="shared" ref="M112:M130" si="82">SUMIF($B$2:$B$98,$B112,$M$2:$M$98)</f>
        <v>0</v>
      </c>
      <c r="N112" s="191">
        <f t="shared" ref="N112:N130" si="83">SUMIF($B$2:$B$98,$B112,$N$2:$N$98)</f>
        <v>4724.537308800006</v>
      </c>
      <c r="O112" s="191">
        <f t="shared" ref="O112:O130" si="84">SUMIF($B$2:$B$98,$B112,$O$2:$O$98)</f>
        <v>225.57671808000001</v>
      </c>
      <c r="P112" s="192">
        <f>MAX(L112-K112,0)</f>
        <v>0</v>
      </c>
      <c r="Q112" s="191">
        <f t="shared" ref="Q112:Q130" si="85">SUMIF($B$2:$B$98,$B112,$Q$2:$Q$98)</f>
        <v>4950.1140268800063</v>
      </c>
      <c r="R112" s="191">
        <f>SUMIF($B$3:$B$17,$B112,$K$3:$K$17)</f>
        <v>16.550015999999999</v>
      </c>
      <c r="S112" s="191">
        <f>SUMIF($B$27:$B$41,$B112,$K$27:$K$41)</f>
        <v>0</v>
      </c>
      <c r="T112" s="191">
        <f>SUMIF($B$51:$B$65,$B112,$K$51:$K$65)</f>
        <v>0</v>
      </c>
      <c r="U112" s="191">
        <f>SUMIF($B$75:$B$89,$B112,$K$75:$K$89)</f>
        <v>0</v>
      </c>
      <c r="V112" s="191">
        <f>W112+X112</f>
        <v>19.2</v>
      </c>
      <c r="W112" s="191"/>
      <c r="X112" s="191">
        <f>INDEX([3]煤参数!$A$24:$S$43,MATCH($B112,[3]煤参数!$A$24:$A$43,0),MATCH($A$1,[3]煤参数!$A$24:$S$24,0))</f>
        <v>19.2</v>
      </c>
      <c r="Y112" s="23"/>
      <c r="Z112" s="193">
        <v>0.115</v>
      </c>
      <c r="AA112" s="194">
        <v>13.63</v>
      </c>
      <c r="AB112" s="194">
        <v>35</v>
      </c>
      <c r="AC112" s="194">
        <v>19.670000000000002</v>
      </c>
      <c r="AD112" s="23"/>
      <c r="AE112" s="23"/>
      <c r="AF112" s="23"/>
      <c r="AG112" s="23"/>
      <c r="AH112" s="23"/>
      <c r="AI112" s="23"/>
      <c r="AJ112" s="4"/>
      <c r="AK112" s="4"/>
      <c r="AL112" s="13"/>
    </row>
    <row r="113" spans="1:38" ht="16.5" thickTop="1" thickBot="1" x14ac:dyDescent="0.45">
      <c r="A113" s="4"/>
      <c r="B113" s="187" t="s">
        <v>105</v>
      </c>
      <c r="C113" s="188">
        <v>1800</v>
      </c>
      <c r="D113" s="321">
        <f t="shared" ref="D113:D130" si="86">IFERROR($Z113+AA113/$C113,)</f>
        <v>0.11937777777777778</v>
      </c>
      <c r="E113" s="321">
        <f t="shared" ref="E113:E130" si="87">IFERROR($Z113+AB113/$C113,)</f>
        <v>0.13777777777777778</v>
      </c>
      <c r="F113" s="321">
        <f t="shared" ref="F113:F130" si="88">IFERROR($Z113+AC113/$C113,)</f>
        <v>0.11555</v>
      </c>
      <c r="G113" s="189">
        <v>9.9</v>
      </c>
      <c r="H113" s="189">
        <v>59.606917129365399</v>
      </c>
      <c r="I113" s="189">
        <v>0.41611229308287101</v>
      </c>
      <c r="J113" s="189">
        <v>16.798780551087098</v>
      </c>
      <c r="K113" s="190">
        <f t="shared" si="81"/>
        <v>10.304105005500638</v>
      </c>
      <c r="L113" s="191">
        <v>10.304105005500638</v>
      </c>
      <c r="M113" s="191">
        <f t="shared" si="82"/>
        <v>0</v>
      </c>
      <c r="N113" s="191">
        <f t="shared" si="83"/>
        <v>2040.2127910891263</v>
      </c>
      <c r="O113" s="191">
        <f t="shared" si="84"/>
        <v>173.93329249285077</v>
      </c>
      <c r="P113" s="192">
        <f t="shared" ref="P113:P131" si="89">MAX(L113-K113,0)</f>
        <v>0</v>
      </c>
      <c r="Q113" s="191">
        <f t="shared" si="85"/>
        <v>2214.1460835819771</v>
      </c>
      <c r="R113" s="191">
        <f t="shared" ref="R113:R130" si="90">SUMIF($B$3:$B$17,$B113,$K$3:$K$17)</f>
        <v>10.304105005500638</v>
      </c>
      <c r="S113" s="191">
        <f t="shared" ref="S113:S130" si="91">SUMIF($B$27:$B$41,$B113,$K$27:$K$41)</f>
        <v>0</v>
      </c>
      <c r="T113" s="191">
        <f t="shared" ref="T113:T130" si="92">SUMIF($B$51:$B$65,$B113,$K$51:$K$65)</f>
        <v>0</v>
      </c>
      <c r="U113" s="191">
        <f t="shared" ref="U113:U130" si="93">SUMIF($B$75:$B$89,$B113,$K$75:$K$89)</f>
        <v>0</v>
      </c>
      <c r="V113" s="191">
        <f t="shared" ref="V113:V115" si="94">W113+X113</f>
        <v>7</v>
      </c>
      <c r="W113" s="191"/>
      <c r="X113" s="191">
        <f>INDEX([3]煤参数!$A$24:$S$43,MATCH($B113,[3]煤参数!$A$24:$A$43,0),MATCH($A$1,[3]煤参数!$A$24:$S$24,0))</f>
        <v>7</v>
      </c>
      <c r="Y113" s="23"/>
      <c r="Z113" s="193">
        <v>0.11</v>
      </c>
      <c r="AA113" s="194">
        <v>16.88</v>
      </c>
      <c r="AB113" s="194">
        <v>50</v>
      </c>
      <c r="AC113" s="194">
        <v>9.99</v>
      </c>
      <c r="AD113" s="23"/>
      <c r="AE113" s="23"/>
      <c r="AF113" s="23"/>
      <c r="AG113" s="23"/>
      <c r="AH113" s="23"/>
      <c r="AI113" s="23"/>
      <c r="AJ113" s="4"/>
      <c r="AK113" s="4"/>
      <c r="AL113" s="13"/>
    </row>
    <row r="114" spans="1:38" ht="16.5" thickTop="1" thickBot="1" x14ac:dyDescent="0.45">
      <c r="A114" s="4"/>
      <c r="B114" s="187" t="s">
        <v>107</v>
      </c>
      <c r="C114" s="188">
        <v>0</v>
      </c>
      <c r="D114" s="321">
        <f t="shared" si="86"/>
        <v>0</v>
      </c>
      <c r="E114" s="321">
        <f t="shared" si="87"/>
        <v>0</v>
      </c>
      <c r="F114" s="321">
        <f t="shared" si="88"/>
        <v>0</v>
      </c>
      <c r="G114" s="189">
        <v>15.680999999999999</v>
      </c>
      <c r="H114" s="189">
        <v>65.22</v>
      </c>
      <c r="I114" s="189">
        <v>0.63</v>
      </c>
      <c r="J114" s="189">
        <v>58.6</v>
      </c>
      <c r="K114" s="190">
        <f t="shared" si="81"/>
        <v>0</v>
      </c>
      <c r="L114" s="191">
        <v>0</v>
      </c>
      <c r="M114" s="191">
        <f t="shared" si="82"/>
        <v>0</v>
      </c>
      <c r="N114" s="191">
        <f t="shared" si="83"/>
        <v>0</v>
      </c>
      <c r="O114" s="191">
        <f t="shared" si="84"/>
        <v>0</v>
      </c>
      <c r="P114" s="192">
        <f t="shared" si="89"/>
        <v>0</v>
      </c>
      <c r="Q114" s="191">
        <f t="shared" si="85"/>
        <v>0</v>
      </c>
      <c r="R114" s="191">
        <f t="shared" si="90"/>
        <v>0</v>
      </c>
      <c r="S114" s="191">
        <f t="shared" si="91"/>
        <v>0</v>
      </c>
      <c r="T114" s="191">
        <f t="shared" si="92"/>
        <v>0</v>
      </c>
      <c r="U114" s="191">
        <f t="shared" si="93"/>
        <v>0</v>
      </c>
      <c r="V114" s="191">
        <f t="shared" si="94"/>
        <v>5.37</v>
      </c>
      <c r="W114" s="191"/>
      <c r="X114" s="191">
        <f>INDEX([3]煤参数!$A$24:$S$43,MATCH($B114,[3]煤参数!$A$24:$A$43,0),MATCH($A$1,[3]煤参数!$A$24:$S$24,0))</f>
        <v>5.37</v>
      </c>
      <c r="Y114" s="23"/>
      <c r="Z114" s="193">
        <v>0</v>
      </c>
      <c r="AA114" s="194">
        <v>12.88</v>
      </c>
      <c r="AB114" s="194">
        <v>35</v>
      </c>
      <c r="AC114" s="194">
        <v>6.01</v>
      </c>
      <c r="AD114" s="23"/>
      <c r="AE114" s="23"/>
      <c r="AF114" s="23"/>
      <c r="AG114" s="23"/>
      <c r="AH114" s="23"/>
      <c r="AI114" s="23"/>
      <c r="AJ114" s="4"/>
      <c r="AK114" s="4"/>
      <c r="AL114" s="13"/>
    </row>
    <row r="115" spans="1:38" ht="16.5" thickTop="1" thickBot="1" x14ac:dyDescent="0.45">
      <c r="A115" s="4"/>
      <c r="B115" s="187" t="s">
        <v>109</v>
      </c>
      <c r="C115" s="188">
        <v>0</v>
      </c>
      <c r="D115" s="321">
        <f t="shared" si="86"/>
        <v>0</v>
      </c>
      <c r="E115" s="321">
        <f t="shared" si="87"/>
        <v>0</v>
      </c>
      <c r="F115" s="321">
        <f t="shared" si="88"/>
        <v>0</v>
      </c>
      <c r="G115" s="189">
        <v>8.93</v>
      </c>
      <c r="H115" s="189">
        <v>71.459999999999994</v>
      </c>
      <c r="I115" s="189">
        <v>0.34</v>
      </c>
      <c r="J115" s="189">
        <v>56.85</v>
      </c>
      <c r="K115" s="190">
        <f t="shared" si="81"/>
        <v>0</v>
      </c>
      <c r="L115" s="191">
        <v>0</v>
      </c>
      <c r="M115" s="191">
        <f t="shared" si="82"/>
        <v>0</v>
      </c>
      <c r="N115" s="191">
        <f t="shared" si="83"/>
        <v>0</v>
      </c>
      <c r="O115" s="191">
        <f t="shared" si="84"/>
        <v>0</v>
      </c>
      <c r="P115" s="192">
        <f t="shared" si="89"/>
        <v>0</v>
      </c>
      <c r="Q115" s="191">
        <f t="shared" si="85"/>
        <v>0</v>
      </c>
      <c r="R115" s="191">
        <f t="shared" si="90"/>
        <v>0</v>
      </c>
      <c r="S115" s="191">
        <f t="shared" si="91"/>
        <v>0</v>
      </c>
      <c r="T115" s="191">
        <f t="shared" si="92"/>
        <v>0</v>
      </c>
      <c r="U115" s="191">
        <f t="shared" si="93"/>
        <v>0</v>
      </c>
      <c r="V115" s="191">
        <f t="shared" si="94"/>
        <v>0</v>
      </c>
      <c r="W115" s="191"/>
      <c r="X115" s="191">
        <f>INDEX([3]煤参数!$A$24:$S$43,MATCH($B115,[3]煤参数!$A$24:$A$43,0),MATCH($A$1,[3]煤参数!$A$24:$S$24,0))</f>
        <v>0</v>
      </c>
      <c r="Y115" s="23"/>
      <c r="Z115" s="193">
        <v>0</v>
      </c>
      <c r="AA115" s="194">
        <v>8.43</v>
      </c>
      <c r="AB115" s="194">
        <v>50</v>
      </c>
      <c r="AC115" s="194">
        <v>13.9</v>
      </c>
      <c r="AD115" s="23"/>
      <c r="AE115" s="23"/>
      <c r="AF115" s="23"/>
      <c r="AG115" s="23"/>
      <c r="AH115" s="23"/>
      <c r="AI115" s="23"/>
      <c r="AJ115" s="4"/>
      <c r="AK115" s="4"/>
      <c r="AL115" s="13"/>
    </row>
    <row r="116" spans="1:38" ht="16.5" thickTop="1" thickBot="1" x14ac:dyDescent="0.45">
      <c r="A116" s="4"/>
      <c r="B116" s="195" t="s">
        <v>336</v>
      </c>
      <c r="C116" s="196">
        <v>2400</v>
      </c>
      <c r="D116" s="321">
        <f t="shared" si="86"/>
        <v>0.123</v>
      </c>
      <c r="E116" s="321">
        <f t="shared" si="87"/>
        <v>0.123</v>
      </c>
      <c r="F116" s="321">
        <f t="shared" si="88"/>
        <v>0.123</v>
      </c>
      <c r="G116" s="197">
        <v>19.2</v>
      </c>
      <c r="H116" s="197">
        <v>32.974564459930299</v>
      </c>
      <c r="I116" s="197">
        <v>0.80500871080139402</v>
      </c>
      <c r="J116" s="197">
        <v>28.483231707317099</v>
      </c>
      <c r="K116" s="190">
        <f t="shared" si="81"/>
        <v>9</v>
      </c>
      <c r="L116" s="198">
        <v>9</v>
      </c>
      <c r="M116" s="198">
        <f t="shared" si="82"/>
        <v>0</v>
      </c>
      <c r="N116" s="198">
        <f t="shared" si="83"/>
        <v>2656.7999999999997</v>
      </c>
      <c r="O116" s="198">
        <f t="shared" si="84"/>
        <v>0</v>
      </c>
      <c r="P116" s="192">
        <f t="shared" si="89"/>
        <v>0</v>
      </c>
      <c r="Q116" s="198">
        <f t="shared" si="85"/>
        <v>2656.7999999999997</v>
      </c>
      <c r="R116" s="198">
        <f t="shared" si="90"/>
        <v>0</v>
      </c>
      <c r="S116" s="198">
        <f t="shared" si="91"/>
        <v>9</v>
      </c>
      <c r="T116" s="198">
        <f t="shared" si="92"/>
        <v>0</v>
      </c>
      <c r="U116" s="198">
        <f t="shared" si="93"/>
        <v>0</v>
      </c>
      <c r="V116" s="23"/>
      <c r="W116" s="23"/>
      <c r="X116" s="23"/>
      <c r="Y116" s="23"/>
      <c r="Z116" s="193">
        <v>0.123</v>
      </c>
      <c r="AA116" s="194">
        <v>0</v>
      </c>
      <c r="AB116" s="194">
        <v>0</v>
      </c>
      <c r="AC116" s="194">
        <v>0</v>
      </c>
      <c r="AD116" s="23"/>
      <c r="AE116" s="23"/>
      <c r="AF116" s="23"/>
      <c r="AG116" s="23"/>
      <c r="AH116" s="23"/>
      <c r="AI116" s="23"/>
      <c r="AJ116" s="4"/>
      <c r="AK116" s="4"/>
      <c r="AL116" s="13"/>
    </row>
    <row r="117" spans="1:38" ht="16.5" thickTop="1" thickBot="1" x14ac:dyDescent="0.45">
      <c r="A117" s="4"/>
      <c r="B117" s="195" t="s">
        <v>337</v>
      </c>
      <c r="C117" s="196">
        <v>3200</v>
      </c>
      <c r="D117" s="321">
        <f t="shared" si="86"/>
        <v>0.13300000000000001</v>
      </c>
      <c r="E117" s="321">
        <f t="shared" si="87"/>
        <v>0.13300000000000001</v>
      </c>
      <c r="F117" s="321">
        <f t="shared" si="88"/>
        <v>0.13300000000000001</v>
      </c>
      <c r="G117" s="197">
        <v>19.149999999999999</v>
      </c>
      <c r="H117" s="197">
        <v>23.8738213399504</v>
      </c>
      <c r="I117" s="197">
        <v>0.84706368899917295</v>
      </c>
      <c r="J117" s="197">
        <v>30.5076674937965</v>
      </c>
      <c r="K117" s="190">
        <f t="shared" si="81"/>
        <v>3</v>
      </c>
      <c r="L117" s="198">
        <v>3</v>
      </c>
      <c r="M117" s="198">
        <f t="shared" si="82"/>
        <v>0</v>
      </c>
      <c r="N117" s="198">
        <f t="shared" si="83"/>
        <v>1276.8000000000002</v>
      </c>
      <c r="O117" s="198">
        <f t="shared" si="84"/>
        <v>0</v>
      </c>
      <c r="P117" s="192">
        <f t="shared" si="89"/>
        <v>0</v>
      </c>
      <c r="Q117" s="198">
        <f t="shared" si="85"/>
        <v>1276.8000000000002</v>
      </c>
      <c r="R117" s="198">
        <f t="shared" si="90"/>
        <v>0</v>
      </c>
      <c r="S117" s="198">
        <f t="shared" si="91"/>
        <v>3</v>
      </c>
      <c r="T117" s="198">
        <f t="shared" si="92"/>
        <v>0</v>
      </c>
      <c r="U117" s="198">
        <f t="shared" si="93"/>
        <v>0</v>
      </c>
      <c r="V117" s="23"/>
      <c r="W117" s="23"/>
      <c r="X117" s="23"/>
      <c r="Y117" s="23"/>
      <c r="Z117" s="193">
        <v>0.13300000000000001</v>
      </c>
      <c r="AA117" s="194">
        <v>0</v>
      </c>
      <c r="AB117" s="194">
        <v>0</v>
      </c>
      <c r="AC117" s="194">
        <v>0</v>
      </c>
      <c r="AD117" s="23"/>
      <c r="AE117" s="23"/>
      <c r="AF117" s="23"/>
      <c r="AG117" s="23"/>
      <c r="AH117" s="23"/>
      <c r="AI117" s="23"/>
      <c r="AJ117" s="4"/>
      <c r="AK117" s="4"/>
      <c r="AL117" s="13"/>
    </row>
    <row r="118" spans="1:38" ht="16.5" thickTop="1" thickBot="1" x14ac:dyDescent="0.45">
      <c r="A118" s="4"/>
      <c r="B118" s="195" t="s">
        <v>338</v>
      </c>
      <c r="C118" s="196">
        <v>3200</v>
      </c>
      <c r="D118" s="321">
        <f t="shared" si="86"/>
        <v>0.1333</v>
      </c>
      <c r="E118" s="321">
        <f t="shared" si="87"/>
        <v>0.1333</v>
      </c>
      <c r="F118" s="321">
        <f t="shared" si="88"/>
        <v>0.1333</v>
      </c>
      <c r="G118" s="197">
        <v>19.149999999999999</v>
      </c>
      <c r="H118" s="197">
        <v>23.8738213399504</v>
      </c>
      <c r="I118" s="197">
        <v>0.84706368899917295</v>
      </c>
      <c r="J118" s="197">
        <v>30.5076674937965</v>
      </c>
      <c r="K118" s="190">
        <f t="shared" si="81"/>
        <v>8</v>
      </c>
      <c r="L118" s="198">
        <v>8</v>
      </c>
      <c r="M118" s="198">
        <f t="shared" si="82"/>
        <v>0</v>
      </c>
      <c r="N118" s="198">
        <f t="shared" si="83"/>
        <v>3412.48</v>
      </c>
      <c r="O118" s="198">
        <f t="shared" si="84"/>
        <v>0</v>
      </c>
      <c r="P118" s="192">
        <f t="shared" si="89"/>
        <v>0</v>
      </c>
      <c r="Q118" s="198">
        <f t="shared" si="85"/>
        <v>3412.48</v>
      </c>
      <c r="R118" s="198">
        <f t="shared" si="90"/>
        <v>0</v>
      </c>
      <c r="S118" s="198">
        <f t="shared" si="91"/>
        <v>8</v>
      </c>
      <c r="T118" s="198">
        <f t="shared" si="92"/>
        <v>0</v>
      </c>
      <c r="U118" s="198">
        <f t="shared" si="93"/>
        <v>0</v>
      </c>
      <c r="V118" s="23"/>
      <c r="W118" s="23"/>
      <c r="X118" s="23"/>
      <c r="Y118" s="23"/>
      <c r="Z118" s="193">
        <v>0.1333</v>
      </c>
      <c r="AA118" s="194">
        <v>0</v>
      </c>
      <c r="AB118" s="194">
        <v>0</v>
      </c>
      <c r="AC118" s="194">
        <v>0</v>
      </c>
      <c r="AD118" s="23"/>
      <c r="AE118" s="23"/>
      <c r="AF118" s="23"/>
      <c r="AG118" s="23"/>
      <c r="AH118" s="23"/>
      <c r="AI118" s="23"/>
      <c r="AJ118" s="4"/>
      <c r="AK118" s="4"/>
      <c r="AL118" s="13"/>
    </row>
    <row r="119" spans="1:38" ht="16.5" thickTop="1" thickBot="1" x14ac:dyDescent="0.45">
      <c r="A119" s="4"/>
      <c r="B119" s="195" t="s">
        <v>339</v>
      </c>
      <c r="C119" s="196">
        <v>3200</v>
      </c>
      <c r="D119" s="321">
        <f t="shared" si="86"/>
        <v>0.16878750000000001</v>
      </c>
      <c r="E119" s="321">
        <f t="shared" si="87"/>
        <v>0.17035</v>
      </c>
      <c r="F119" s="321">
        <f t="shared" si="88"/>
        <v>0.16597500000000001</v>
      </c>
      <c r="G119" s="197">
        <v>32.112708935028316</v>
      </c>
      <c r="H119" s="197">
        <v>19.443642689832394</v>
      </c>
      <c r="I119" s="197">
        <v>0.77574029122504196</v>
      </c>
      <c r="J119" s="197">
        <v>24.82919018488618</v>
      </c>
      <c r="K119" s="190">
        <f t="shared" si="81"/>
        <v>0</v>
      </c>
      <c r="L119" s="198">
        <v>100</v>
      </c>
      <c r="M119" s="198">
        <f t="shared" si="82"/>
        <v>0</v>
      </c>
      <c r="N119" s="198">
        <f t="shared" si="83"/>
        <v>0</v>
      </c>
      <c r="O119" s="198">
        <f t="shared" si="84"/>
        <v>0</v>
      </c>
      <c r="P119" s="192">
        <f t="shared" si="89"/>
        <v>100</v>
      </c>
      <c r="Q119" s="198">
        <f t="shared" si="85"/>
        <v>0</v>
      </c>
      <c r="R119" s="198">
        <f t="shared" si="90"/>
        <v>0</v>
      </c>
      <c r="S119" s="198">
        <f t="shared" si="91"/>
        <v>0</v>
      </c>
      <c r="T119" s="198">
        <f t="shared" si="92"/>
        <v>0</v>
      </c>
      <c r="U119" s="198">
        <f t="shared" si="93"/>
        <v>0</v>
      </c>
      <c r="V119" s="23"/>
      <c r="W119" s="23"/>
      <c r="X119" s="23"/>
      <c r="Y119" s="23"/>
      <c r="Z119" s="193">
        <v>0.13900000000000001</v>
      </c>
      <c r="AA119" s="194">
        <v>95.32</v>
      </c>
      <c r="AB119" s="194">
        <v>100.32</v>
      </c>
      <c r="AC119" s="194">
        <v>86.32</v>
      </c>
      <c r="AD119" s="23"/>
      <c r="AE119" s="23"/>
      <c r="AF119" s="23"/>
      <c r="AG119" s="23"/>
      <c r="AH119" s="23"/>
      <c r="AI119" s="23"/>
      <c r="AJ119" s="4"/>
      <c r="AK119" s="4"/>
      <c r="AL119" s="13"/>
    </row>
    <row r="120" spans="1:38" ht="16.5" thickTop="1" thickBot="1" x14ac:dyDescent="0.45">
      <c r="A120" s="4"/>
      <c r="B120" s="199" t="s">
        <v>340</v>
      </c>
      <c r="C120" s="200">
        <v>3500</v>
      </c>
      <c r="D120" s="321">
        <f t="shared" si="86"/>
        <v>0.17313428571428571</v>
      </c>
      <c r="E120" s="321">
        <f t="shared" si="87"/>
        <v>0.17456285714285713</v>
      </c>
      <c r="F120" s="321">
        <f t="shared" si="88"/>
        <v>0.17056285714285715</v>
      </c>
      <c r="G120" s="201">
        <v>29.814058639384577</v>
      </c>
      <c r="H120" s="201">
        <v>17.717185625549313</v>
      </c>
      <c r="I120" s="201">
        <v>0.78167601374394924</v>
      </c>
      <c r="J120" s="201">
        <v>26.875930557064283</v>
      </c>
      <c r="K120" s="190">
        <f t="shared" si="81"/>
        <v>0</v>
      </c>
      <c r="L120" s="192">
        <v>100</v>
      </c>
      <c r="M120" s="192">
        <f t="shared" si="82"/>
        <v>0</v>
      </c>
      <c r="N120" s="192">
        <f t="shared" si="83"/>
        <v>0</v>
      </c>
      <c r="O120" s="192">
        <f t="shared" si="84"/>
        <v>0</v>
      </c>
      <c r="P120" s="192">
        <f t="shared" si="89"/>
        <v>100</v>
      </c>
      <c r="Q120" s="192">
        <f t="shared" si="85"/>
        <v>0</v>
      </c>
      <c r="R120" s="192">
        <f t="shared" si="90"/>
        <v>0</v>
      </c>
      <c r="S120" s="192">
        <f t="shared" si="91"/>
        <v>0</v>
      </c>
      <c r="T120" s="192">
        <f t="shared" si="92"/>
        <v>0</v>
      </c>
      <c r="U120" s="192">
        <f t="shared" si="93"/>
        <v>0</v>
      </c>
      <c r="V120" s="23"/>
      <c r="W120" s="23"/>
      <c r="X120" s="23"/>
      <c r="Y120" s="23"/>
      <c r="Z120" s="193">
        <v>0.1459</v>
      </c>
      <c r="AA120" s="194">
        <v>95.32</v>
      </c>
      <c r="AB120" s="194">
        <v>100.32</v>
      </c>
      <c r="AC120" s="194">
        <v>86.32</v>
      </c>
      <c r="AD120" s="23"/>
      <c r="AE120" s="23"/>
      <c r="AF120" s="23"/>
      <c r="AG120" s="23"/>
      <c r="AH120" s="23"/>
      <c r="AI120" s="23"/>
      <c r="AJ120" s="4"/>
      <c r="AK120" s="4"/>
      <c r="AL120" s="13"/>
    </row>
    <row r="121" spans="1:38" ht="16.5" thickTop="1" thickBot="1" x14ac:dyDescent="0.45">
      <c r="A121" s="4"/>
      <c r="B121" s="199" t="s">
        <v>341</v>
      </c>
      <c r="C121" s="200">
        <v>3800</v>
      </c>
      <c r="D121" s="321">
        <f t="shared" si="86"/>
        <v>0.1693842105263158</v>
      </c>
      <c r="E121" s="321">
        <f t="shared" si="87"/>
        <v>0.17070000000000002</v>
      </c>
      <c r="F121" s="321">
        <f t="shared" si="88"/>
        <v>0.16701578947368423</v>
      </c>
      <c r="G121" s="201">
        <v>34.679691189371134</v>
      </c>
      <c r="H121" s="201">
        <v>8.6727633353557447</v>
      </c>
      <c r="I121" s="201">
        <v>0.82970573383298385</v>
      </c>
      <c r="J121" s="201">
        <v>28.63870628789606</v>
      </c>
      <c r="K121" s="190">
        <f t="shared" si="81"/>
        <v>0</v>
      </c>
      <c r="L121" s="192">
        <v>100</v>
      </c>
      <c r="M121" s="192">
        <f t="shared" si="82"/>
        <v>0</v>
      </c>
      <c r="N121" s="192">
        <f t="shared" si="83"/>
        <v>0</v>
      </c>
      <c r="O121" s="192">
        <f t="shared" si="84"/>
        <v>0</v>
      </c>
      <c r="P121" s="192">
        <f t="shared" si="89"/>
        <v>100</v>
      </c>
      <c r="Q121" s="192">
        <f t="shared" si="85"/>
        <v>0</v>
      </c>
      <c r="R121" s="192">
        <f t="shared" si="90"/>
        <v>0</v>
      </c>
      <c r="S121" s="192">
        <f t="shared" si="91"/>
        <v>0</v>
      </c>
      <c r="T121" s="192">
        <f t="shared" si="92"/>
        <v>0</v>
      </c>
      <c r="U121" s="192">
        <f t="shared" si="93"/>
        <v>0</v>
      </c>
      <c r="V121" s="23"/>
      <c r="W121" s="23"/>
      <c r="X121" s="23"/>
      <c r="Y121" s="23"/>
      <c r="Z121" s="193">
        <v>0.14430000000000001</v>
      </c>
      <c r="AA121" s="194">
        <v>95.32</v>
      </c>
      <c r="AB121" s="194">
        <v>100.32</v>
      </c>
      <c r="AC121" s="194">
        <v>86.32</v>
      </c>
      <c r="AD121" s="23"/>
      <c r="AE121" s="23"/>
      <c r="AF121" s="23"/>
      <c r="AG121" s="23"/>
      <c r="AH121" s="23"/>
      <c r="AI121" s="23"/>
      <c r="AJ121" s="4"/>
      <c r="AK121" s="4"/>
      <c r="AL121" s="13"/>
    </row>
    <row r="122" spans="1:38" ht="16.5" thickTop="1" thickBot="1" x14ac:dyDescent="0.45">
      <c r="A122" s="4"/>
      <c r="B122" s="202" t="s">
        <v>370</v>
      </c>
      <c r="C122" s="203">
        <v>4600</v>
      </c>
      <c r="D122" s="321">
        <f t="shared" si="86"/>
        <v>0.16142173913043478</v>
      </c>
      <c r="E122" s="321">
        <f t="shared" si="87"/>
        <v>0.16250869565217391</v>
      </c>
      <c r="F122" s="321">
        <f t="shared" si="88"/>
        <v>0.15946521739130434</v>
      </c>
      <c r="G122" s="204">
        <v>23.091665258091258</v>
      </c>
      <c r="H122" s="204">
        <v>10.878752304026914</v>
      </c>
      <c r="I122" s="204">
        <v>0.20812534188160234</v>
      </c>
      <c r="J122" s="204">
        <v>32.849464801712827</v>
      </c>
      <c r="K122" s="190">
        <f t="shared" si="81"/>
        <v>12.076366967033442</v>
      </c>
      <c r="L122" s="205">
        <v>100</v>
      </c>
      <c r="M122" s="205">
        <f t="shared" si="82"/>
        <v>0</v>
      </c>
      <c r="N122" s="205">
        <f t="shared" si="83"/>
        <v>7816.0662284033824</v>
      </c>
      <c r="O122" s="205">
        <f t="shared" si="84"/>
        <v>1176.2715776187722</v>
      </c>
      <c r="P122" s="192">
        <f t="shared" si="89"/>
        <v>87.923633032966563</v>
      </c>
      <c r="Q122" s="205">
        <f t="shared" si="85"/>
        <v>8992.3378060221548</v>
      </c>
      <c r="R122" s="205">
        <f t="shared" si="90"/>
        <v>7.0459113028045195</v>
      </c>
      <c r="S122" s="205">
        <f t="shared" si="91"/>
        <v>5.0304556642289224</v>
      </c>
      <c r="T122" s="205">
        <f t="shared" si="92"/>
        <v>0</v>
      </c>
      <c r="U122" s="205">
        <f t="shared" si="93"/>
        <v>0</v>
      </c>
      <c r="V122" s="23"/>
      <c r="W122" s="23"/>
      <c r="X122" s="23"/>
      <c r="Y122" s="23"/>
      <c r="Z122" s="193">
        <v>0.14069999999999999</v>
      </c>
      <c r="AA122" s="194">
        <v>95.32</v>
      </c>
      <c r="AB122" s="194">
        <v>100.32</v>
      </c>
      <c r="AC122" s="194">
        <v>86.32</v>
      </c>
      <c r="AD122" s="23"/>
      <c r="AE122" s="23"/>
      <c r="AF122" s="23"/>
      <c r="AG122" s="23"/>
      <c r="AH122" s="23"/>
      <c r="AI122" s="23"/>
      <c r="AJ122" s="4"/>
      <c r="AK122" s="4"/>
      <c r="AL122" s="13"/>
    </row>
    <row r="123" spans="1:38" ht="16.5" thickTop="1" thickBot="1" x14ac:dyDescent="0.45">
      <c r="A123" s="4"/>
      <c r="B123" s="202" t="s">
        <v>343</v>
      </c>
      <c r="C123" s="203">
        <v>5500</v>
      </c>
      <c r="D123" s="321">
        <f t="shared" si="86"/>
        <v>0.16633090909090908</v>
      </c>
      <c r="E123" s="321">
        <f t="shared" si="87"/>
        <v>0.16724</v>
      </c>
      <c r="F123" s="321">
        <f t="shared" si="88"/>
        <v>0.16469454545454545</v>
      </c>
      <c r="G123" s="204">
        <v>10.316450637788327</v>
      </c>
      <c r="H123" s="204">
        <v>19.875802288647424</v>
      </c>
      <c r="I123" s="204">
        <v>0.4766377671249582</v>
      </c>
      <c r="J123" s="204">
        <v>25.313893426650807</v>
      </c>
      <c r="K123" s="190">
        <f t="shared" si="81"/>
        <v>0</v>
      </c>
      <c r="L123" s="205">
        <v>100</v>
      </c>
      <c r="M123" s="205">
        <f t="shared" si="82"/>
        <v>0</v>
      </c>
      <c r="N123" s="205">
        <f t="shared" si="83"/>
        <v>0</v>
      </c>
      <c r="O123" s="205">
        <f t="shared" si="84"/>
        <v>0</v>
      </c>
      <c r="P123" s="192">
        <f t="shared" si="89"/>
        <v>100</v>
      </c>
      <c r="Q123" s="205">
        <f t="shared" si="85"/>
        <v>0</v>
      </c>
      <c r="R123" s="205">
        <f t="shared" si="90"/>
        <v>0</v>
      </c>
      <c r="S123" s="205">
        <f t="shared" si="91"/>
        <v>0</v>
      </c>
      <c r="T123" s="205">
        <f t="shared" si="92"/>
        <v>0</v>
      </c>
      <c r="U123" s="205">
        <f t="shared" si="93"/>
        <v>0</v>
      </c>
      <c r="V123" s="23"/>
      <c r="W123" s="23"/>
      <c r="X123" s="23"/>
      <c r="Y123" s="23"/>
      <c r="Z123" s="193">
        <v>0.14899999999999999</v>
      </c>
      <c r="AA123" s="194">
        <v>95.32</v>
      </c>
      <c r="AB123" s="194">
        <v>100.32</v>
      </c>
      <c r="AC123" s="194">
        <v>86.32</v>
      </c>
      <c r="AD123" s="23"/>
      <c r="AE123" s="23"/>
      <c r="AF123" s="23"/>
      <c r="AG123" s="23"/>
      <c r="AH123" s="23"/>
      <c r="AI123" s="23"/>
      <c r="AJ123" s="4"/>
      <c r="AK123" s="4"/>
      <c r="AL123" s="13"/>
    </row>
    <row r="124" spans="1:38" ht="16.5" thickTop="1" thickBot="1" x14ac:dyDescent="0.45">
      <c r="A124" s="4"/>
      <c r="B124" s="206" t="s">
        <v>344</v>
      </c>
      <c r="C124" s="207">
        <v>5000</v>
      </c>
      <c r="D124" s="321">
        <f t="shared" si="86"/>
        <v>0</v>
      </c>
      <c r="E124" s="321">
        <f t="shared" si="87"/>
        <v>0</v>
      </c>
      <c r="F124" s="321">
        <f t="shared" si="88"/>
        <v>0</v>
      </c>
      <c r="G124" s="208">
        <v>0</v>
      </c>
      <c r="H124" s="208">
        <v>0</v>
      </c>
      <c r="I124" s="208">
        <v>0</v>
      </c>
      <c r="J124" s="208">
        <v>0</v>
      </c>
      <c r="K124" s="190">
        <f t="shared" si="81"/>
        <v>0</v>
      </c>
      <c r="L124" s="209">
        <v>0</v>
      </c>
      <c r="M124" s="209">
        <f t="shared" si="82"/>
        <v>0</v>
      </c>
      <c r="N124" s="209">
        <f t="shared" si="83"/>
        <v>0</v>
      </c>
      <c r="O124" s="209">
        <f t="shared" si="84"/>
        <v>0</v>
      </c>
      <c r="P124" s="192">
        <f t="shared" si="89"/>
        <v>0</v>
      </c>
      <c r="Q124" s="209">
        <f t="shared" si="85"/>
        <v>0</v>
      </c>
      <c r="R124" s="209">
        <f t="shared" si="90"/>
        <v>0</v>
      </c>
      <c r="S124" s="209">
        <f t="shared" si="91"/>
        <v>0</v>
      </c>
      <c r="T124" s="209">
        <f t="shared" si="92"/>
        <v>0</v>
      </c>
      <c r="U124" s="209">
        <f t="shared" si="93"/>
        <v>0</v>
      </c>
      <c r="V124" s="23"/>
      <c r="W124" s="23"/>
      <c r="X124" s="23"/>
      <c r="Y124" s="23"/>
      <c r="Z124" s="193">
        <v>0</v>
      </c>
      <c r="AA124" s="194">
        <v>0</v>
      </c>
      <c r="AB124" s="194">
        <v>0</v>
      </c>
      <c r="AC124" s="194">
        <v>0</v>
      </c>
      <c r="AD124" s="23"/>
      <c r="AE124" s="23"/>
      <c r="AF124" s="23"/>
      <c r="AG124" s="23"/>
      <c r="AH124" s="23"/>
      <c r="AI124" s="23"/>
      <c r="AJ124" s="4"/>
      <c r="AK124" s="4"/>
      <c r="AL124" s="13"/>
    </row>
    <row r="125" spans="1:38" ht="16.5" thickTop="1" thickBot="1" x14ac:dyDescent="0.45">
      <c r="A125" s="4"/>
      <c r="B125" s="206" t="s">
        <v>345</v>
      </c>
      <c r="C125" s="207">
        <v>5500</v>
      </c>
      <c r="D125" s="321">
        <f t="shared" si="86"/>
        <v>0</v>
      </c>
      <c r="E125" s="321">
        <f t="shared" si="87"/>
        <v>0</v>
      </c>
      <c r="F125" s="321">
        <f t="shared" si="88"/>
        <v>0</v>
      </c>
      <c r="G125" s="208">
        <v>0</v>
      </c>
      <c r="H125" s="208">
        <v>0</v>
      </c>
      <c r="I125" s="208">
        <v>0</v>
      </c>
      <c r="J125" s="208">
        <v>0</v>
      </c>
      <c r="K125" s="190">
        <f t="shared" si="81"/>
        <v>0</v>
      </c>
      <c r="L125" s="209">
        <v>0</v>
      </c>
      <c r="M125" s="209">
        <f t="shared" si="82"/>
        <v>0</v>
      </c>
      <c r="N125" s="209">
        <f t="shared" si="83"/>
        <v>0</v>
      </c>
      <c r="O125" s="209">
        <f t="shared" si="84"/>
        <v>0</v>
      </c>
      <c r="P125" s="192">
        <f t="shared" si="89"/>
        <v>0</v>
      </c>
      <c r="Q125" s="209">
        <f t="shared" si="85"/>
        <v>0</v>
      </c>
      <c r="R125" s="209">
        <f t="shared" si="90"/>
        <v>0</v>
      </c>
      <c r="S125" s="209">
        <f t="shared" si="91"/>
        <v>0</v>
      </c>
      <c r="T125" s="209">
        <f t="shared" si="92"/>
        <v>0</v>
      </c>
      <c r="U125" s="209">
        <f t="shared" si="93"/>
        <v>0</v>
      </c>
      <c r="V125" s="23"/>
      <c r="W125" s="23"/>
      <c r="X125" s="23"/>
      <c r="Y125" s="23"/>
      <c r="Z125" s="193">
        <v>0</v>
      </c>
      <c r="AA125" s="194">
        <v>0</v>
      </c>
      <c r="AB125" s="194">
        <v>0</v>
      </c>
      <c r="AC125" s="194">
        <v>0</v>
      </c>
      <c r="AD125" s="23"/>
      <c r="AE125" s="23"/>
      <c r="AF125" s="23"/>
      <c r="AG125" s="23"/>
      <c r="AH125" s="23"/>
      <c r="AI125" s="23"/>
      <c r="AJ125" s="4"/>
      <c r="AK125" s="4"/>
      <c r="AL125" s="13"/>
    </row>
    <row r="126" spans="1:38" ht="16.5" thickTop="1" thickBot="1" x14ac:dyDescent="0.45">
      <c r="A126" s="4"/>
      <c r="B126" s="206" t="s">
        <v>346</v>
      </c>
      <c r="C126" s="207">
        <v>6500</v>
      </c>
      <c r="D126" s="321">
        <f t="shared" si="86"/>
        <v>0</v>
      </c>
      <c r="E126" s="321">
        <f t="shared" si="87"/>
        <v>0</v>
      </c>
      <c r="F126" s="321">
        <f t="shared" si="88"/>
        <v>0</v>
      </c>
      <c r="G126" s="208">
        <v>0</v>
      </c>
      <c r="H126" s="208">
        <v>0</v>
      </c>
      <c r="I126" s="208">
        <v>0</v>
      </c>
      <c r="J126" s="208">
        <v>0</v>
      </c>
      <c r="K126" s="190">
        <f t="shared" si="81"/>
        <v>0</v>
      </c>
      <c r="L126" s="209">
        <v>0</v>
      </c>
      <c r="M126" s="209">
        <f t="shared" si="82"/>
        <v>0</v>
      </c>
      <c r="N126" s="209">
        <f t="shared" si="83"/>
        <v>0</v>
      </c>
      <c r="O126" s="209">
        <f t="shared" si="84"/>
        <v>0</v>
      </c>
      <c r="P126" s="192">
        <f t="shared" si="89"/>
        <v>0</v>
      </c>
      <c r="Q126" s="209">
        <f t="shared" si="85"/>
        <v>0</v>
      </c>
      <c r="R126" s="209">
        <f t="shared" si="90"/>
        <v>0</v>
      </c>
      <c r="S126" s="209">
        <f t="shared" si="91"/>
        <v>0</v>
      </c>
      <c r="T126" s="209">
        <f t="shared" si="92"/>
        <v>0</v>
      </c>
      <c r="U126" s="209">
        <f t="shared" si="93"/>
        <v>0</v>
      </c>
      <c r="V126" s="23"/>
      <c r="W126" s="23"/>
      <c r="X126" s="23"/>
      <c r="Y126" s="23"/>
      <c r="Z126" s="193">
        <v>0</v>
      </c>
      <c r="AA126" s="194">
        <v>0</v>
      </c>
      <c r="AB126" s="194">
        <v>0</v>
      </c>
      <c r="AC126" s="194">
        <v>0</v>
      </c>
      <c r="AD126" s="23"/>
      <c r="AE126" s="23"/>
      <c r="AF126" s="23"/>
      <c r="AG126" s="23"/>
      <c r="AH126" s="23"/>
      <c r="AI126" s="23"/>
      <c r="AJ126" s="4"/>
      <c r="AK126" s="4"/>
      <c r="AL126" s="13"/>
    </row>
    <row r="127" spans="1:38" ht="16.5" thickTop="1" thickBot="1" x14ac:dyDescent="0.45">
      <c r="A127" s="4"/>
      <c r="B127" s="210" t="s">
        <v>347</v>
      </c>
      <c r="C127" s="211">
        <v>7256.4478151694502</v>
      </c>
      <c r="D127" s="321">
        <f t="shared" si="86"/>
        <v>0</v>
      </c>
      <c r="E127" s="321">
        <f t="shared" si="87"/>
        <v>0</v>
      </c>
      <c r="F127" s="321">
        <f t="shared" si="88"/>
        <v>0</v>
      </c>
      <c r="G127" s="212">
        <v>0</v>
      </c>
      <c r="H127" s="212">
        <v>0</v>
      </c>
      <c r="I127" s="212">
        <v>0</v>
      </c>
      <c r="J127" s="212">
        <v>0</v>
      </c>
      <c r="K127" s="190">
        <f t="shared" si="81"/>
        <v>0</v>
      </c>
      <c r="L127" s="213">
        <v>0</v>
      </c>
      <c r="M127" s="213">
        <f t="shared" si="82"/>
        <v>0</v>
      </c>
      <c r="N127" s="213">
        <f t="shared" si="83"/>
        <v>0</v>
      </c>
      <c r="O127" s="213">
        <f t="shared" si="84"/>
        <v>0</v>
      </c>
      <c r="P127" s="192">
        <f t="shared" si="89"/>
        <v>0</v>
      </c>
      <c r="Q127" s="213">
        <f t="shared" si="85"/>
        <v>0</v>
      </c>
      <c r="R127" s="213">
        <f t="shared" si="90"/>
        <v>0</v>
      </c>
      <c r="S127" s="213">
        <f t="shared" si="91"/>
        <v>0</v>
      </c>
      <c r="T127" s="213">
        <f t="shared" si="92"/>
        <v>0</v>
      </c>
      <c r="U127" s="213">
        <f t="shared" si="93"/>
        <v>0</v>
      </c>
      <c r="V127" s="23"/>
      <c r="W127" s="23"/>
      <c r="X127" s="23"/>
      <c r="Y127" s="23"/>
      <c r="Z127" s="193">
        <v>0</v>
      </c>
      <c r="AA127" s="194">
        <v>0</v>
      </c>
      <c r="AB127" s="194">
        <v>0</v>
      </c>
      <c r="AC127" s="194">
        <v>0</v>
      </c>
      <c r="AD127" s="23"/>
      <c r="AE127" s="23"/>
      <c r="AF127" s="23"/>
      <c r="AG127" s="23"/>
      <c r="AH127" s="23"/>
      <c r="AI127" s="23"/>
      <c r="AJ127" s="4"/>
      <c r="AK127" s="4"/>
      <c r="AL127" s="13"/>
    </row>
    <row r="128" spans="1:38" ht="16.5" thickTop="1" thickBot="1" x14ac:dyDescent="0.45">
      <c r="A128" s="4"/>
      <c r="B128" s="214" t="s">
        <v>348</v>
      </c>
      <c r="C128" s="16">
        <v>7000</v>
      </c>
      <c r="D128" s="321">
        <f t="shared" si="86"/>
        <v>0</v>
      </c>
      <c r="E128" s="321">
        <f t="shared" si="87"/>
        <v>0</v>
      </c>
      <c r="F128" s="321">
        <f t="shared" si="88"/>
        <v>0</v>
      </c>
      <c r="G128" s="19">
        <v>0</v>
      </c>
      <c r="H128" s="19">
        <v>0</v>
      </c>
      <c r="I128" s="19">
        <v>0</v>
      </c>
      <c r="J128" s="19">
        <v>0</v>
      </c>
      <c r="K128" s="18">
        <f t="shared" si="81"/>
        <v>0</v>
      </c>
      <c r="L128" s="18">
        <v>0</v>
      </c>
      <c r="M128" s="18">
        <f t="shared" si="82"/>
        <v>0</v>
      </c>
      <c r="N128" s="18">
        <f t="shared" si="83"/>
        <v>0</v>
      </c>
      <c r="O128" s="18">
        <f t="shared" si="84"/>
        <v>0</v>
      </c>
      <c r="P128" s="18">
        <f t="shared" si="89"/>
        <v>0</v>
      </c>
      <c r="Q128" s="18">
        <f t="shared" si="85"/>
        <v>0</v>
      </c>
      <c r="R128" s="18">
        <f t="shared" si="90"/>
        <v>0</v>
      </c>
      <c r="S128" s="18">
        <f t="shared" si="91"/>
        <v>0</v>
      </c>
      <c r="T128" s="18">
        <f t="shared" si="92"/>
        <v>0</v>
      </c>
      <c r="U128" s="18">
        <f t="shared" si="93"/>
        <v>0</v>
      </c>
      <c r="V128" s="23"/>
      <c r="W128" s="23"/>
      <c r="X128" s="23"/>
      <c r="Y128" s="23"/>
      <c r="Z128" s="194">
        <v>0</v>
      </c>
      <c r="AA128" s="194">
        <v>0</v>
      </c>
      <c r="AB128" s="194">
        <v>0</v>
      </c>
      <c r="AC128" s="194">
        <v>0</v>
      </c>
      <c r="AD128" s="23"/>
      <c r="AE128" s="23"/>
      <c r="AF128" s="23"/>
      <c r="AG128" s="23"/>
      <c r="AH128" s="23"/>
      <c r="AI128" s="23"/>
      <c r="AJ128" s="4"/>
      <c r="AK128" s="4"/>
      <c r="AL128" s="13"/>
    </row>
    <row r="129" spans="1:68" ht="16.5" thickTop="1" thickBot="1" x14ac:dyDescent="0.45">
      <c r="A129" s="4"/>
      <c r="B129" s="214" t="s">
        <v>349</v>
      </c>
      <c r="C129" s="16">
        <v>4000</v>
      </c>
      <c r="D129" s="321">
        <f t="shared" si="86"/>
        <v>0</v>
      </c>
      <c r="E129" s="321">
        <f t="shared" si="87"/>
        <v>0</v>
      </c>
      <c r="F129" s="321">
        <f t="shared" si="88"/>
        <v>0</v>
      </c>
      <c r="G129" s="19">
        <v>0</v>
      </c>
      <c r="H129" s="19">
        <v>0</v>
      </c>
      <c r="I129" s="19">
        <v>0</v>
      </c>
      <c r="J129" s="19">
        <v>32.689945351214902</v>
      </c>
      <c r="K129" s="18">
        <f t="shared" si="81"/>
        <v>0</v>
      </c>
      <c r="L129" s="18">
        <v>0</v>
      </c>
      <c r="M129" s="18">
        <f t="shared" si="82"/>
        <v>0</v>
      </c>
      <c r="N129" s="18">
        <f t="shared" si="83"/>
        <v>0</v>
      </c>
      <c r="O129" s="18">
        <f t="shared" si="84"/>
        <v>0</v>
      </c>
      <c r="P129" s="18">
        <f t="shared" si="89"/>
        <v>0</v>
      </c>
      <c r="Q129" s="18">
        <f t="shared" si="85"/>
        <v>0</v>
      </c>
      <c r="R129" s="18">
        <f t="shared" si="90"/>
        <v>0</v>
      </c>
      <c r="S129" s="18">
        <f t="shared" si="91"/>
        <v>0</v>
      </c>
      <c r="T129" s="18">
        <f t="shared" si="92"/>
        <v>0</v>
      </c>
      <c r="U129" s="18">
        <f t="shared" si="93"/>
        <v>0</v>
      </c>
      <c r="V129" s="23"/>
      <c r="W129" s="23"/>
      <c r="X129" s="23"/>
      <c r="Y129" s="23"/>
      <c r="Z129" s="194">
        <v>0</v>
      </c>
      <c r="AA129" s="194">
        <v>0</v>
      </c>
      <c r="AB129" s="194">
        <v>0</v>
      </c>
      <c r="AC129" s="194">
        <v>0</v>
      </c>
      <c r="AD129" s="23"/>
      <c r="AE129" s="23"/>
      <c r="AF129" s="23"/>
      <c r="AG129" s="23"/>
      <c r="AH129" s="23"/>
      <c r="AI129" s="23"/>
      <c r="AJ129" s="4"/>
      <c r="AK129" s="4"/>
      <c r="AL129" s="13"/>
    </row>
    <row r="130" spans="1:68" ht="16.5" thickTop="1" thickBot="1" x14ac:dyDescent="0.45">
      <c r="A130" s="4"/>
      <c r="B130" s="214" t="s">
        <v>350</v>
      </c>
      <c r="C130" s="16">
        <v>4500</v>
      </c>
      <c r="D130" s="321">
        <f t="shared" si="86"/>
        <v>0</v>
      </c>
      <c r="E130" s="321">
        <f t="shared" si="87"/>
        <v>0</v>
      </c>
      <c r="F130" s="321">
        <f t="shared" si="88"/>
        <v>0</v>
      </c>
      <c r="G130" s="19">
        <v>0</v>
      </c>
      <c r="H130" s="19">
        <v>0</v>
      </c>
      <c r="I130" s="19">
        <v>0</v>
      </c>
      <c r="J130" s="19">
        <v>0</v>
      </c>
      <c r="K130" s="18">
        <f t="shared" si="81"/>
        <v>0</v>
      </c>
      <c r="L130" s="18">
        <v>0</v>
      </c>
      <c r="M130" s="18">
        <f t="shared" si="82"/>
        <v>0</v>
      </c>
      <c r="N130" s="18">
        <f t="shared" si="83"/>
        <v>0</v>
      </c>
      <c r="O130" s="18">
        <f t="shared" si="84"/>
        <v>0</v>
      </c>
      <c r="P130" s="18">
        <f t="shared" si="89"/>
        <v>0</v>
      </c>
      <c r="Q130" s="18">
        <f t="shared" si="85"/>
        <v>0</v>
      </c>
      <c r="R130" s="18">
        <f t="shared" si="90"/>
        <v>0</v>
      </c>
      <c r="S130" s="18">
        <f t="shared" si="91"/>
        <v>0</v>
      </c>
      <c r="T130" s="18">
        <f t="shared" si="92"/>
        <v>0</v>
      </c>
      <c r="U130" s="18">
        <f t="shared" si="93"/>
        <v>0</v>
      </c>
      <c r="V130" s="23"/>
      <c r="W130" s="23"/>
      <c r="X130" s="23"/>
      <c r="Y130" s="23"/>
      <c r="Z130" s="194">
        <v>0</v>
      </c>
      <c r="AA130" s="194">
        <v>0</v>
      </c>
      <c r="AB130" s="194">
        <v>0</v>
      </c>
      <c r="AC130" s="194">
        <v>0</v>
      </c>
      <c r="AD130" s="23"/>
      <c r="AE130" s="23"/>
      <c r="AF130" s="23"/>
      <c r="AG130" s="23"/>
      <c r="AH130" s="23"/>
      <c r="AI130" s="23"/>
      <c r="AJ130" s="4"/>
      <c r="AK130" s="4"/>
      <c r="AL130" s="13"/>
    </row>
    <row r="131" spans="1:68" ht="15.75" thickTop="1" thickBot="1" x14ac:dyDescent="0.45">
      <c r="A131" s="4"/>
      <c r="B131" s="215" t="s">
        <v>33</v>
      </c>
      <c r="C131" s="16">
        <f>SUMPRODUCT(C112:C130,$K$112:$K$130)/SUM($K$112:$K$130)</f>
        <v>2918.3808940867934</v>
      </c>
      <c r="D131" s="17">
        <f>SUMPRODUCT($C$112:$C$130,D112:D130,$K$112:$K$130)/SUMPRODUCT($C$112:$C$130,$K$112:$K$130)</f>
        <v>0.13651183759606084</v>
      </c>
      <c r="E131" s="17">
        <f>SUMPRODUCT($C$112:$C$130,E112:E130,$K$112:$K$130)/SUMPRODUCT($C$112:$C$130,$K$112:$K$130)</f>
        <v>0.14090374690400639</v>
      </c>
      <c r="F131" s="17">
        <f>SUMPRODUCT($C$112:$C$130,F112:F130,$K$112:$K$130)/SUMPRODUCT($C$112:$C$130,$K$112:$K$130)</f>
        <v>0.13604829681708702</v>
      </c>
      <c r="G131" s="19">
        <f>SUMPRODUCT(G112:G130,$K$112:$K$130)/SUM($K$112:$K$130)</f>
        <v>15.511524498441307</v>
      </c>
      <c r="H131" s="19">
        <f>SUMPRODUCT(H112:H130,$K$112:$K$130)/SUM($K$112:$K$130)</f>
        <v>37.240058702712503</v>
      </c>
      <c r="I131" s="19">
        <f>SUMPRODUCT(I112:I130,$K$112:$K$130)/SUM($K$112:$K$130)</f>
        <v>0.82876035844735108</v>
      </c>
      <c r="J131" s="19">
        <f>SUMPRODUCT(J112:J130,$K$112:$K$130)/SUM($K$112:$K$130)</f>
        <v>25.398027153518409</v>
      </c>
      <c r="K131" s="18">
        <f>SUM(K112:K130)</f>
        <v>58.930487972534081</v>
      </c>
      <c r="L131" s="18">
        <f>SUM(L112:L130)</f>
        <v>546.8541210055007</v>
      </c>
      <c r="M131" s="18">
        <f>SUM(M112:M130)</f>
        <v>0</v>
      </c>
      <c r="N131" s="18">
        <f>SUM(N112:N130)</f>
        <v>21926.896328292514</v>
      </c>
      <c r="O131" s="18">
        <f>SUM(O112:O130)</f>
        <v>1575.7815881916231</v>
      </c>
      <c r="P131" s="18">
        <f t="shared" si="89"/>
        <v>487.92363303296662</v>
      </c>
      <c r="Q131" s="18">
        <f>SUM(Q112:Q130)</f>
        <v>23502.677916484139</v>
      </c>
      <c r="R131" s="18">
        <f t="shared" ref="R131:U131" si="95">SUM(R112:R130)</f>
        <v>33.900032308305157</v>
      </c>
      <c r="S131" s="18">
        <f t="shared" si="95"/>
        <v>25.030455664228924</v>
      </c>
      <c r="T131" s="18">
        <f t="shared" si="95"/>
        <v>0</v>
      </c>
      <c r="U131" s="18">
        <f t="shared" si="95"/>
        <v>0</v>
      </c>
      <c r="V131" s="23"/>
      <c r="W131" s="23"/>
      <c r="X131" s="23"/>
      <c r="Y131" s="23"/>
      <c r="Z131" s="193">
        <f>SUMPRODUCT(K112:K130,Z112:Z130)/SUM(K112:K130)</f>
        <v>0.12401472436937656</v>
      </c>
      <c r="AA131" s="216">
        <f>(SUMPRODUCT(R112:R130,AA112:AA130)+SUMPRODUCT(T112:T130,AA112:AA130))/SUM(R112:R130,T112:T130)</f>
        <v>31.596615195371442</v>
      </c>
      <c r="AB131" s="216">
        <f>SUMPRODUCT(S112:S130,AB112:AB130)/SUM(S112:S130)</f>
        <v>20.161651030454447</v>
      </c>
      <c r="AC131" s="216" t="e">
        <f>SUMPRODUCT(U112:U130,AC112:AC130)/SUM(U112:U130)</f>
        <v>#DIV/0!</v>
      </c>
      <c r="AD131" s="23"/>
      <c r="AE131" s="23"/>
      <c r="AF131" s="23"/>
      <c r="AG131" s="23"/>
      <c r="AH131" s="23"/>
      <c r="AI131" s="23"/>
      <c r="AJ131" s="4"/>
      <c r="AK131" s="4"/>
      <c r="AL131" s="13"/>
    </row>
    <row r="132" spans="1:68" ht="15.4" thickTop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13"/>
    </row>
    <row r="133" spans="1:68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13"/>
    </row>
    <row r="134" spans="1:68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13"/>
    </row>
    <row r="135" spans="1:68" ht="34.15" x14ac:dyDescent="0.4">
      <c r="A135" s="217" t="s">
        <v>217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</row>
    <row r="136" spans="1:68" ht="15.75" x14ac:dyDescent="0.4">
      <c r="AL136" s="13"/>
      <c r="AM136" s="218" t="s">
        <v>218</v>
      </c>
      <c r="AN136" s="219"/>
      <c r="AO136" s="219"/>
      <c r="AP136" s="219"/>
      <c r="AQ136" s="219"/>
      <c r="AR136" s="219"/>
      <c r="AS136" s="219"/>
      <c r="AT136" s="219"/>
      <c r="AU136" s="219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 ht="16.899999999999999" x14ac:dyDescent="0.4">
      <c r="AL137" s="13"/>
      <c r="AM137" s="220" t="s">
        <v>219</v>
      </c>
      <c r="AN137" s="220" t="s">
        <v>220</v>
      </c>
      <c r="AO137" s="220" t="s">
        <v>221</v>
      </c>
      <c r="AP137" s="220" t="s">
        <v>222</v>
      </c>
      <c r="AQ137" s="220" t="s">
        <v>223</v>
      </c>
      <c r="AR137" s="220" t="s">
        <v>224</v>
      </c>
      <c r="AS137" s="220" t="s">
        <v>225</v>
      </c>
      <c r="AT137" s="220" t="s">
        <v>226</v>
      </c>
      <c r="AU137" s="220" t="s">
        <v>227</v>
      </c>
      <c r="BP137" s="4"/>
    </row>
    <row r="138" spans="1:68" ht="16.149999999999999" x14ac:dyDescent="0.4">
      <c r="AL138" s="13"/>
      <c r="AM138" s="221" t="s">
        <v>228</v>
      </c>
      <c r="AN138" s="222">
        <f>AN140/(AN139*100*AN141*100*4.1816*7000)*10000000</f>
        <v>289.64937258558683</v>
      </c>
      <c r="AO138" s="221" t="s">
        <v>229</v>
      </c>
      <c r="AP138" s="223">
        <f>AP140/((AP139*100)*(AP141*100)*7000*4.1868)*10000000</f>
        <v>311.80637443372865</v>
      </c>
      <c r="AQ138" s="223">
        <f>AQ140/((AQ139*100)*(AQ141*100)*7000*4.1868)*10000000</f>
        <v>312.27814012358272</v>
      </c>
      <c r="AR138" s="223">
        <f t="shared" ref="AR138" si="96">AR140/((AR139*100)*(AR141*100)*7000*4.1868)*10000000</f>
        <v>311.50276519932976</v>
      </c>
      <c r="AS138" s="223" t="s">
        <v>178</v>
      </c>
      <c r="AT138" s="223" t="s">
        <v>178</v>
      </c>
      <c r="AU138" s="223" t="s">
        <v>178</v>
      </c>
      <c r="AV138" s="224">
        <f>$AN138+AS144+AS140+SUM(AS147:AS157)</f>
        <v>316.9046902970332</v>
      </c>
      <c r="AW138" s="224">
        <f t="shared" ref="AW138:AX138" si="97">$AN138+AT144+AT140+SUM(AT147:AT157)</f>
        <v>317.42889864247093</v>
      </c>
      <c r="AX138" s="224">
        <f t="shared" si="97"/>
        <v>316.57920766622283</v>
      </c>
      <c r="BP138" s="4"/>
    </row>
    <row r="139" spans="1:68" ht="16.149999999999999" x14ac:dyDescent="0.4">
      <c r="AL139" s="13"/>
      <c r="AM139" s="225" t="s">
        <v>230</v>
      </c>
      <c r="AN139" s="226">
        <v>0.92200000000000004</v>
      </c>
      <c r="AO139" s="225" t="s">
        <v>231</v>
      </c>
      <c r="AP139" s="227">
        <f>IFERROR(SUMPRODUCT(AQ146:AR146,AQ139:AR139)/AP146,)</f>
        <v>0.88884069684761324</v>
      </c>
      <c r="AQ139" s="322">
        <f>AQ166/100-(0.03006*AQ148-0.1786+0.021042)/100+(0.000029*POWER(AQ155,2)-0.009245*POWER(AQ155,1)+0.2025+0.10513101)/100</f>
        <v>0.88749790498791792</v>
      </c>
      <c r="AR139" s="322">
        <f>AR166/100-(0.03006*AR148-0.1786+0.021042)/100+(0.000029*POWER(AR155,2)-0.009245*POWER(AR155,1)+0.2025+0.10513101)/100</f>
        <v>0.88970701417644893</v>
      </c>
      <c r="AS139" s="227" t="s">
        <v>178</v>
      </c>
      <c r="AT139" s="227" t="s">
        <v>178</v>
      </c>
      <c r="AU139" s="227" t="s">
        <v>178</v>
      </c>
      <c r="BP139" s="4"/>
    </row>
    <row r="140" spans="1:68" ht="16.149999999999999" x14ac:dyDescent="0.4">
      <c r="AL140" s="13"/>
      <c r="AM140" s="221" t="s">
        <v>232</v>
      </c>
      <c r="AN140" s="228">
        <v>7738.9</v>
      </c>
      <c r="AO140" s="221" t="s">
        <v>233</v>
      </c>
      <c r="AP140" s="223">
        <f>AP144*(1+(AP142-$AN$142)/100+($AN$160-AP160)*0.25%+($AN$161-AP161)*0.04%+($AN$162-AP162)*0.02%)+((0.0211*AP143*AP143-15.321*AP143+10513)-(0.0211*350*350-15.321*350+10513))</f>
        <v>8025.0199505440332</v>
      </c>
      <c r="AQ140" s="223">
        <f>AQ144*(1+(AQ142-$AN$142)/100+($AN$160-AQ160)*0.25%+($AN$161-AQ161)*0.04%+($AN$162-AQ162)*0.02%)+((0.0211*AQ143*AQ143-15.321*AQ143+10513)-(0.0211*350*350-15.321*350+10513))</f>
        <v>8025.0199505440332</v>
      </c>
      <c r="AR140" s="223">
        <f>AR144*(1+(AR142-$AN$142)/100+($AN$160-AR160)*0.25%+($AN$161-AR161)*0.04%+($AN$162-AR162)*0.02%)+((0.0211*AR143*AR143-15.321*AR143+10513)-(0.0211*350*350-15.321*350+10513))</f>
        <v>8025.0199505440332</v>
      </c>
      <c r="AS140" s="223">
        <f>(AP140-AP144)/((AP139*100)*(AP141*100)*7000*4.1868)*10000000</f>
        <v>11.116984752946918</v>
      </c>
      <c r="AT140" s="223">
        <f>(AQ140-AQ144)/((AQ139*100)*(AQ141*100)*7000*4.1868)*10000000</f>
        <v>11.133804845193577</v>
      </c>
      <c r="AU140" s="223">
        <f>(AR140-AR144)/((AR139*100)*(AR141*100)*7000*4.1868)*10000000</f>
        <v>11.106160024825835</v>
      </c>
      <c r="AW140" s="229"/>
      <c r="BP140" s="4"/>
    </row>
    <row r="141" spans="1:68" ht="16.149999999999999" x14ac:dyDescent="0.4">
      <c r="AL141" s="13"/>
      <c r="AM141" s="225" t="s">
        <v>234</v>
      </c>
      <c r="AN141" s="226">
        <v>0.99</v>
      </c>
      <c r="AO141" s="225" t="s">
        <v>235</v>
      </c>
      <c r="AP141" s="227">
        <f>SUMPRODUCT($AQ$146:$AR$146,AQ141:AR141)/$AP$146</f>
        <v>0.98799999999999988</v>
      </c>
      <c r="AQ141" s="227">
        <v>0.98799999999999999</v>
      </c>
      <c r="AR141" s="227">
        <v>0.98799999999999999</v>
      </c>
      <c r="AS141" s="227" t="s">
        <v>178</v>
      </c>
      <c r="AT141" s="227" t="s">
        <v>178</v>
      </c>
      <c r="AU141" s="227" t="s">
        <v>178</v>
      </c>
      <c r="BP141" s="4"/>
    </row>
    <row r="142" spans="1:68" ht="16.149999999999999" x14ac:dyDescent="0.4">
      <c r="AL142" s="13"/>
      <c r="AM142" s="221" t="s">
        <v>236</v>
      </c>
      <c r="AN142" s="230">
        <f>AN159+AN158</f>
        <v>7</v>
      </c>
      <c r="AO142" s="221" t="s">
        <v>237</v>
      </c>
      <c r="AP142" s="231">
        <f>AP159+AP158</f>
        <v>10.5</v>
      </c>
      <c r="AQ142" s="231">
        <v>10.5</v>
      </c>
      <c r="AR142" s="231">
        <v>10.5</v>
      </c>
      <c r="AS142" s="231">
        <f>(AP144*(1*0+(AP142-$AN$142)/100+($AN$160-AP160)*0.25%*0+($AN$161-AP161)*0.04%*0+($AN$162-AP162)*0.02%*0))/((AP139*100)*(AP141*100)*7000*4.1868)*10000000</f>
        <v>10.52412863882736</v>
      </c>
      <c r="AT142" s="231">
        <f>(AQ144*(1*0+(AQ142-$AN$142)/100+($AN$160-AQ160)*0.25%*0+($AN$161-AQ161)*0.04%*0+($AN$162-AQ162)*0.02%*0))/((AQ139*100)*(AQ141*100)*7000*4.1868)*10000000</f>
        <v>10.540051734743622</v>
      </c>
      <c r="AU142" s="231">
        <f>(AR144*(1*0+(AR142-$AN$142)/100+($AN$160-AR160)*0.25%*0+($AN$161-AR161)*0.04%*0+($AN$162-AR162)*0.02%*0))/((AR139*100)*(AR141*100)*7000*4.1868)*10000000</f>
        <v>10.513881181107639</v>
      </c>
      <c r="BP142" s="4"/>
    </row>
    <row r="143" spans="1:68" ht="16.149999999999999" x14ac:dyDescent="0.4">
      <c r="AL143" s="13"/>
      <c r="AM143" s="225" t="s">
        <v>238</v>
      </c>
      <c r="AN143" s="228">
        <v>350</v>
      </c>
      <c r="AO143" s="225" t="s">
        <v>239</v>
      </c>
      <c r="AP143" s="232">
        <f>AP145/AP146*10</f>
        <v>344.52386217644943</v>
      </c>
      <c r="AQ143" s="222">
        <v>344.52386217644943</v>
      </c>
      <c r="AR143" s="222">
        <v>344.52386217644943</v>
      </c>
      <c r="AS143" s="232">
        <f>((0.0211*AP143*AP143-15.321*AP143+10513)-(0.0211*$AN$143*$AN$143-15.321*$AN$143+10513))/((AP139*100)*(AP141*100)*7000*4.1868)*10000000</f>
        <v>0.14182202959840595</v>
      </c>
      <c r="AT143" s="232">
        <f>((0.0211*AQ143*AQ143-15.321*AQ143+10513)-(0.0211*$AN$143*$AN$143-15.321*$AN$143+10513))/((AQ139*100)*(AQ141*100)*7000*4.1868)*10000000</f>
        <v>0.14203660753239306</v>
      </c>
      <c r="AU143" s="232">
        <f>((0.0211*AR143*AR143-15.321*AR143+10513)-(0.0211*$AN$143*$AN$143-15.321*$AN$143+10513))/((AR139*100)*(AR141*100)*7000*4.1868)*10000000</f>
        <v>0.14168393595646081</v>
      </c>
      <c r="BP143" s="4"/>
    </row>
    <row r="144" spans="1:68" ht="16.149999999999999" x14ac:dyDescent="0.4">
      <c r="AL144" s="13"/>
      <c r="AM144" s="221" t="s">
        <v>240</v>
      </c>
      <c r="AN144" s="233">
        <f>AP144</f>
        <v>7738.9</v>
      </c>
      <c r="AO144" s="221" t="s">
        <v>240</v>
      </c>
      <c r="AP144" s="231">
        <f>SUMPRODUCT($AQ$146:$AR$146,AQ144:AR144)/$AP$146</f>
        <v>7738.9</v>
      </c>
      <c r="AQ144" s="233">
        <v>7738.9</v>
      </c>
      <c r="AR144" s="233">
        <v>7738.9</v>
      </c>
      <c r="AS144" s="231">
        <f>(AP144-$AN$140)/((AP139*100)*(AP141*100)*7000*4.1868)*10000000</f>
        <v>0</v>
      </c>
      <c r="AT144" s="231">
        <f>(AQ144-$AN$140)/((AQ139*100)*(AQ141*100)*7000*4.1868)*10000000</f>
        <v>0</v>
      </c>
      <c r="AU144" s="231">
        <f>(AR144-$AN$140)/((AR139*100)*(AR141*100)*7000*4.1868)*10000000</f>
        <v>0</v>
      </c>
      <c r="BP144" s="4"/>
    </row>
    <row r="145" spans="38:68" ht="16.149999999999999" x14ac:dyDescent="0.4">
      <c r="AL145" s="13"/>
      <c r="AM145" s="225" t="s">
        <v>241</v>
      </c>
      <c r="AN145" s="228">
        <f>AN143*AN146/10</f>
        <v>227500</v>
      </c>
      <c r="AO145" s="225" t="s">
        <v>242</v>
      </c>
      <c r="AP145" s="232">
        <f>SUM(AQ145:AR145)</f>
        <v>42169.720730397414</v>
      </c>
      <c r="AQ145" s="234">
        <f>AQ143*AQ146/10</f>
        <v>16537.145384469572</v>
      </c>
      <c r="AR145" s="234">
        <f>AR143*AR146/10</f>
        <v>25632.575345927838</v>
      </c>
      <c r="AS145" s="235" t="s">
        <v>178</v>
      </c>
      <c r="AT145" s="235" t="s">
        <v>178</v>
      </c>
      <c r="AU145" s="235" t="s">
        <v>178</v>
      </c>
      <c r="BP145" s="4"/>
    </row>
    <row r="146" spans="38:68" ht="16.149999999999999" x14ac:dyDescent="0.4">
      <c r="AL146" s="13"/>
      <c r="AM146" s="221" t="s">
        <v>243</v>
      </c>
      <c r="AN146" s="228">
        <v>6500</v>
      </c>
      <c r="AO146" s="221" t="s">
        <v>244</v>
      </c>
      <c r="AP146" s="231">
        <f>SUM(AQ146:AR146)</f>
        <v>1224</v>
      </c>
      <c r="AQ146" s="230">
        <v>480</v>
      </c>
      <c r="AR146" s="230">
        <v>744</v>
      </c>
      <c r="AS146" s="231" t="s">
        <v>178</v>
      </c>
      <c r="AT146" s="231" t="s">
        <v>178</v>
      </c>
      <c r="AU146" s="231" t="s">
        <v>178</v>
      </c>
      <c r="BP146" s="4"/>
    </row>
    <row r="147" spans="38:68" ht="16.149999999999999" x14ac:dyDescent="0.4">
      <c r="AL147" s="13"/>
      <c r="AM147" s="225" t="s">
        <v>245</v>
      </c>
      <c r="AN147" s="228">
        <v>3286</v>
      </c>
      <c r="AO147" s="225" t="s">
        <v>246</v>
      </c>
      <c r="AP147" s="232">
        <f t="shared" ref="AP147:AP162" si="98">SUMPRODUCT($AQ$146:$AR$146,AQ147:AR147)/$AP$146</f>
        <v>2715.0863245712239</v>
      </c>
      <c r="AQ147" s="310">
        <f>$C$18</f>
        <v>2715.0863245712239</v>
      </c>
      <c r="AR147" s="310">
        <f>$C$18</f>
        <v>2715.0863245712239</v>
      </c>
      <c r="AS147" s="236">
        <f>AP140/((AP139*100)*(AP141*100)*7000*4.1868)*10000000-AP140/((AP139*100-(($AS166-$AN$166)/100-($AN$147-AP147)/1000*1.25%)*100)*(AP141*100)*7000*4.1868)*10000000</f>
        <v>5.9120921884170912</v>
      </c>
      <c r="AT147" s="236">
        <f>AQ140/((AQ139*100)*(AQ141*100)*7000*4.1868)*10000000-AQ140/((AQ139*100-(($AS166-$AN$166)/100-($AN$147-AQ147)/1000*1.25%)*100)*(AQ141*100)*7000*4.1868)*10000000</f>
        <v>5.929825699842695</v>
      </c>
      <c r="AU147" s="236">
        <f>AR140/((AR139*100)*(AR141*100)*7000*4.1868)*10000000-AR140/((AR139*100-(($AS166-$AN$166)/100-($AN$147-AR147)/1000*1.25%)*100)*(AR141*100)*7000*4.1868)*10000000</f>
        <v>5.9006933981839325</v>
      </c>
      <c r="BP147" s="4"/>
    </row>
    <row r="148" spans="38:68" ht="16.149999999999999" x14ac:dyDescent="0.4">
      <c r="AL148" s="13"/>
      <c r="AM148" s="221" t="s">
        <v>247</v>
      </c>
      <c r="AN148" s="237">
        <v>9.1</v>
      </c>
      <c r="AO148" s="221" t="s">
        <v>248</v>
      </c>
      <c r="AP148" s="231">
        <f t="shared" si="98"/>
        <v>12.226835238014633</v>
      </c>
      <c r="AQ148" s="310">
        <f>$F$18</f>
        <v>12.226835238014631</v>
      </c>
      <c r="AR148" s="310">
        <f>$F$18</f>
        <v>12.226835238014631</v>
      </c>
      <c r="AS148" s="238">
        <f>AP140/((AP139*100)*(AP141*100)*7000*4.1868)*10000000-AP140/((AP139*100-(-(AP148-$AN$148)/100*0.008)*100)*(AP141*100)*7000*4.1868)*10000000</f>
        <v>8.7727112788229533E-2</v>
      </c>
      <c r="AT148" s="238">
        <f>AQ140/((AQ139*100)*(AQ141*100)*7000*4.1868)*10000000-AQ140/((AQ139*100-(-(AQ148-$AN$148)/100*0.008)*100)*(AQ141*100)*7000*4.1868)*10000000</f>
        <v>8.7992739887170046E-2</v>
      </c>
      <c r="AU148" s="238">
        <f>AR140/((AR139*100)*(AR141*100)*7000*4.1868)*10000000-AR140/((AR139*100-(-(AR148-$AN$148)/100*0.008)*100)*(AR141*100)*7000*4.1868)*10000000</f>
        <v>8.7556378275507996E-2</v>
      </c>
      <c r="BP148" s="4"/>
    </row>
    <row r="149" spans="38:68" ht="16.149999999999999" x14ac:dyDescent="0.4">
      <c r="AL149" s="13"/>
      <c r="AM149" s="225" t="s">
        <v>249</v>
      </c>
      <c r="AN149" s="237">
        <v>43.74</v>
      </c>
      <c r="AO149" s="225" t="s">
        <v>250</v>
      </c>
      <c r="AP149" s="232">
        <f t="shared" si="98"/>
        <v>46.621390241657735</v>
      </c>
      <c r="AQ149" s="310">
        <f>$G$18</f>
        <v>46.621390241657728</v>
      </c>
      <c r="AR149" s="310">
        <f>$G$18</f>
        <v>46.621390241657728</v>
      </c>
      <c r="AS149" s="236">
        <f>AP140/((AP139*100)*(AP141*100)*7000*4.1868)*10000000-AP140/((AP139*100-(($AT166-$AN$166)/100)*100)*(AP141*100)*7000*4.1868)*10000000</f>
        <v>1.5897058416464347</v>
      </c>
      <c r="AT149" s="236">
        <f>AQ140/((AQ139*100)*(AQ141*100)*7000*4.1868)*10000000-AQ140/((AQ139*100-(($AT166-$AN$166)/100)*100)*(AQ141*100)*7000*4.1868)*10000000</f>
        <v>1.5945076577949635</v>
      </c>
      <c r="AU149" s="236">
        <f>AR140/((AR139*100)*(AR141*100)*7000*4.1868)*10000000-AR140/((AR139*100-(($AT166-$AN$166)/100)*100)*(AR141*100)*7000*4.1868)*10000000</f>
        <v>1.5866193978947081</v>
      </c>
      <c r="BP149" s="4"/>
    </row>
    <row r="150" spans="38:68" ht="16.149999999999999" x14ac:dyDescent="0.4">
      <c r="AL150" s="13"/>
      <c r="AM150" s="221" t="s">
        <v>251</v>
      </c>
      <c r="AN150" s="237">
        <v>2.14</v>
      </c>
      <c r="AO150" s="221" t="s">
        <v>252</v>
      </c>
      <c r="AP150" s="231">
        <f t="shared" si="98"/>
        <v>2.8458333333333297</v>
      </c>
      <c r="AQ150" s="230">
        <v>2.8458333333333301</v>
      </c>
      <c r="AR150" s="230">
        <v>2.8458333333333301</v>
      </c>
      <c r="AS150" s="238">
        <f>AP140/((AP139*100)*(AP141*100)*7000*4.1868)*10000000-AP140/((AP139*100-((AU$166-$AN$166)/100)*100)*(AP141*100)*7000*4.1868)*10000000</f>
        <v>1.8281758374918695</v>
      </c>
      <c r="AT150" s="238">
        <f>AQ140/((AQ139*100)*(AQ141*100)*7000*4.1868)*10000000-AQ140/((AQ139*100-((AV$166-$AN$166)/100)*100)*(AQ141*100)*7000*4.1868)*10000000</f>
        <v>1.8336958468648845</v>
      </c>
      <c r="AU150" s="238">
        <f>AR140/((AR139*100)*(AR141*100)*7000*4.1868)*10000000-AR140/((AR139*100-((AW$166-$AN$166)/100)*100)*(AR141*100)*7000*4.1868)*10000000</f>
        <v>1.8246277585626558</v>
      </c>
      <c r="BP150" s="4"/>
    </row>
    <row r="151" spans="38:68" ht="16.149999999999999" x14ac:dyDescent="0.4">
      <c r="AL151" s="13"/>
      <c r="AM151" s="225" t="s">
        <v>253</v>
      </c>
      <c r="AN151" s="237">
        <v>2.14</v>
      </c>
      <c r="AO151" s="225" t="s">
        <v>254</v>
      </c>
      <c r="AP151" s="232">
        <f t="shared" si="98"/>
        <v>2.6</v>
      </c>
      <c r="AQ151" s="230">
        <v>2.6</v>
      </c>
      <c r="AR151" s="230">
        <v>2.6</v>
      </c>
      <c r="AS151" s="236">
        <f>AP140/((AP139*100)*(AP141*100)*7000*4.1868)*10000000-AP140/((AP139*100-((AX$166-$AN$166)/100)*100)*(AP141*100)*7000*4.1868)*10000000</f>
        <v>1.8207850978707825</v>
      </c>
      <c r="AT151" s="236">
        <f>AQ140/((AQ139*100)*(AQ141*100)*7000*4.1868)*10000000-AQ140/((AQ139*100-((AY$166-$AN$166)/100)*100)*(AQ141*100)*7000*4.1868)*10000000</f>
        <v>1.8262828570778993</v>
      </c>
      <c r="AU151" s="236">
        <f>AR140/((AR139*100)*(AR141*100)*7000*4.1868)*10000000-AR140/((AR139*100-((AZ$166-$AN$166)/100)*100)*(AR141*100)*7000*4.1868)*10000000</f>
        <v>1.8172513207660472</v>
      </c>
      <c r="BP151" s="4"/>
    </row>
    <row r="152" spans="38:68" ht="16.149999999999999" x14ac:dyDescent="0.4">
      <c r="AL152" s="13"/>
      <c r="AM152" s="221" t="s">
        <v>255</v>
      </c>
      <c r="AN152" s="228">
        <v>131</v>
      </c>
      <c r="AO152" s="221" t="s">
        <v>256</v>
      </c>
      <c r="AP152" s="231">
        <f t="shared" si="98"/>
        <v>133.5</v>
      </c>
      <c r="AQ152" s="230">
        <v>133.5</v>
      </c>
      <c r="AR152" s="230">
        <v>133.5</v>
      </c>
      <c r="AS152" s="238">
        <f>AP140/((AP139*100)*(AP141*100)*7000*4.1868)*10000000-AP140/((AP139*100-((BA$166-$AN$166)/100)*100)*(AP141*100)*7000*4.1868)*10000000</f>
        <v>1.1358867801963015</v>
      </c>
      <c r="AT152" s="238">
        <f>AQ140/((AQ139*100)*(AQ141*100)*7000*4.1868)*10000000-AQ140/((AQ139*100-((BB$166-$AN$166)/100)*100)*(AQ141*100)*7000*4.1868)*10000000</f>
        <v>1.1393203134562668</v>
      </c>
      <c r="AU152" s="238">
        <f>AR140/((AR139*100)*(AR141*100)*7000*4.1868)*10000000-AR140/((AR139*100-((BC$166-$AN$166)/100)*100)*(AR141*100)*7000*4.1868)*10000000</f>
        <v>1.1336798280302105</v>
      </c>
      <c r="BP152" s="4"/>
    </row>
    <row r="153" spans="38:68" ht="16.149999999999999" x14ac:dyDescent="0.4">
      <c r="AL153" s="13"/>
      <c r="AM153" s="225" t="s">
        <v>257</v>
      </c>
      <c r="AN153" s="228">
        <v>35</v>
      </c>
      <c r="AO153" s="225" t="s">
        <v>258</v>
      </c>
      <c r="AP153" s="232">
        <f t="shared" si="98"/>
        <v>31.200000000000003</v>
      </c>
      <c r="AQ153" s="230">
        <v>30.89</v>
      </c>
      <c r="AR153" s="230">
        <v>31.4</v>
      </c>
      <c r="AS153" s="236">
        <f>AP140/((AP139*100)*(AP141*100)*7000*4.1868)*10000000-AP140/((AP139*100-((BD$166-$AN$166)/100)*100)*(AP141*100)*7000*4.1868)*10000000</f>
        <v>1.3743887247587736</v>
      </c>
      <c r="AT153" s="236">
        <f>AQ140/((AQ139*100)*(AQ141*100)*7000*4.1868)*10000000-AQ140/((AQ139*100-((BE$166-$AN$166)/100)*100)*(AQ141*100)*7000*4.1868)*10000000</f>
        <v>1.4321291522197725</v>
      </c>
      <c r="AU153" s="236">
        <f>AR140/((AR139*100)*(AR141*100)*7000*4.1868)*10000000-AR140/((AR139*100-((BF$166-$AN$166)/100)*100)*(AR141*100)*7000*4.1868)*10000000</f>
        <v>1.3373077564479559</v>
      </c>
      <c r="BP153" s="4"/>
    </row>
    <row r="154" spans="38:68" ht="16.149999999999999" x14ac:dyDescent="0.4">
      <c r="AL154" s="13"/>
      <c r="AM154" s="221" t="s">
        <v>259</v>
      </c>
      <c r="AN154" s="228">
        <v>3.5</v>
      </c>
      <c r="AO154" s="221" t="s">
        <v>260</v>
      </c>
      <c r="AP154" s="223">
        <f t="shared" si="98"/>
        <v>2.6633333333333336</v>
      </c>
      <c r="AQ154" s="230">
        <v>3.18</v>
      </c>
      <c r="AR154" s="230">
        <v>2.33</v>
      </c>
      <c r="AS154" s="238">
        <f>AP140/((AP139*100)*(AP141*100)*7000*4.1868)*10000000-AP140/((AP139*100-((BG$166-$AN$166)/100)*100)*(AP141*100)*7000*4.1868)*10000000</f>
        <v>6.5032226741436716E-2</v>
      </c>
      <c r="AT154" s="238">
        <f>AQ140/((AQ139*100)*(AQ141*100)*7000*4.1868)*10000000-AQ140/((AQ139*100-((BH$166-$AN$166)/100)*100)*(AQ141*100)*7000*4.1868)*10000000</f>
        <v>0.46273244811516179</v>
      </c>
      <c r="AU154" s="238">
        <f>AR140/((AR139*100)*(AR141*100)*7000*4.1868)*10000000-AR140/((AR139*100-((BI$166-$AN$166)/100)*100)*(AR141*100)*7000*4.1868)*10000000</f>
        <v>-0.1791601961454603</v>
      </c>
      <c r="BP154" s="4"/>
    </row>
    <row r="155" spans="38:68" ht="16.149999999999999" x14ac:dyDescent="0.4">
      <c r="AL155" s="13"/>
      <c r="AM155" s="225" t="s">
        <v>261</v>
      </c>
      <c r="AN155" s="228">
        <v>280.89999999999998</v>
      </c>
      <c r="AO155" s="225" t="s">
        <v>262</v>
      </c>
      <c r="AP155" s="232">
        <f t="shared" si="98"/>
        <v>270.92941176470589</v>
      </c>
      <c r="AQ155" s="230">
        <v>270.82</v>
      </c>
      <c r="AR155" s="230">
        <v>271</v>
      </c>
      <c r="AS155" s="236">
        <f>AP140/((AP139*100)*(AP141*100)*7000*4.1868)*10000000-AP140/((AP139*100-(-($AN$155-AP155)*0.02%)*100)*(AP141*100)*7000*4.1868)*10000000</f>
        <v>0.69797293909812197</v>
      </c>
      <c r="AT155" s="236">
        <f>AQ140/((AQ139*100)*(AQ141*100)*7000*4.1868)*10000000-AQ140/((AQ139*100-(-($AN$155-AQ155)*0.02%)*100)*(AQ141*100)*7000*4.1868)*10000000</f>
        <v>0.70774917284484218</v>
      </c>
      <c r="AU155" s="236">
        <f>AR140/((AR139*100)*(AR141*100)*7000*4.1868)*10000000-AR140/((AR139*100-(-($AN$155-AR155)*0.02%)*100)*(AR141*100)*7000*4.1868)*10000000</f>
        <v>0.6916950289606234</v>
      </c>
      <c r="BP155" s="4"/>
    </row>
    <row r="156" spans="38:68" ht="16.149999999999999" x14ac:dyDescent="0.4">
      <c r="AL156" s="13"/>
      <c r="AM156" s="221" t="s">
        <v>263</v>
      </c>
      <c r="AN156" s="228">
        <v>1057</v>
      </c>
      <c r="AO156" s="221" t="s">
        <v>264</v>
      </c>
      <c r="AP156" s="231">
        <f t="shared" si="98"/>
        <v>1090</v>
      </c>
      <c r="AQ156" s="230">
        <v>1090</v>
      </c>
      <c r="AR156" s="230">
        <v>1090</v>
      </c>
      <c r="AS156" s="238">
        <f>AP140/((AP139*100)*(AP141*100)*7000*4.1868)*10000000-AP140/((AP139*100-((BJ$166-$AN$166)/100)*100)*(AP141*100)*7000*4.1868)*10000000</f>
        <v>0.67433590263908627</v>
      </c>
      <c r="AT156" s="238">
        <f>AQ140/((AQ139*100)*(AQ141*100)*7000*4.1868)*10000000-AQ140/((AQ139*100-((BK$166-$AN$166)/100)*100)*(AQ141*100)*7000*4.1868)*10000000</f>
        <v>0.67637578500830386</v>
      </c>
      <c r="AU156" s="238">
        <f>AR140/((AR139*100)*(AR141*100)*7000*4.1868)*10000000-AR140/((AR139*100-((BL$166-$AN$166)/100)*100)*(AR141*100)*7000*4.1868)*10000000</f>
        <v>0.67302474295155434</v>
      </c>
      <c r="BP156" s="4"/>
    </row>
    <row r="157" spans="38:68" ht="16.149999999999999" x14ac:dyDescent="0.4">
      <c r="AL157" s="13"/>
      <c r="AM157" s="225" t="s">
        <v>265</v>
      </c>
      <c r="AN157" s="228">
        <v>869</v>
      </c>
      <c r="AO157" s="225" t="s">
        <v>266</v>
      </c>
      <c r="AP157" s="232">
        <f t="shared" si="98"/>
        <v>910</v>
      </c>
      <c r="AQ157" s="230">
        <v>910</v>
      </c>
      <c r="AR157" s="230">
        <v>910</v>
      </c>
      <c r="AS157" s="236">
        <f>AP140/((AP139*100)*(AP141*100)*7000*4.1868)*10000000-AP140/((AP139*100-((BM$166-$AN$166)/100)*100)*(AP141*100)*7000*4.1868)*10000000</f>
        <v>0.95223030685133381</v>
      </c>
      <c r="AT157" s="236">
        <f>AQ140/((AQ139*100)*(AQ141*100)*7000*4.1868)*10000000-AQ140/((AQ139*100-((BN$166-$AN$166)/100)*100)*(AQ141*100)*7000*4.1868)*10000000</f>
        <v>0.9551095385785402</v>
      </c>
      <c r="AU157" s="236">
        <f>AR140/((AR139*100)*(AR141*100)*7000*4.1868)*10000000-AR140/((AR139*100-((BO$166-$AN$166)/100)*100)*(AR141*100)*7000*4.1868)*10000000</f>
        <v>0.95037964188242086</v>
      </c>
      <c r="BP157" s="4"/>
    </row>
    <row r="158" spans="38:68" ht="16.149999999999999" x14ac:dyDescent="0.4">
      <c r="AL158" s="13"/>
      <c r="AM158" s="221" t="s">
        <v>267</v>
      </c>
      <c r="AN158" s="228">
        <v>-92.18</v>
      </c>
      <c r="AO158" s="221" t="s">
        <v>268</v>
      </c>
      <c r="AP158" s="231">
        <f t="shared" si="98"/>
        <v>-89.5</v>
      </c>
      <c r="AQ158" s="230">
        <f>AQ142-AQ159</f>
        <v>-89.5</v>
      </c>
      <c r="AR158" s="230">
        <f>AR142-AR159</f>
        <v>-89.5</v>
      </c>
      <c r="AS158" s="231" t="s">
        <v>178</v>
      </c>
      <c r="AT158" s="231" t="s">
        <v>178</v>
      </c>
      <c r="AU158" s="231" t="s">
        <v>178</v>
      </c>
      <c r="BP158" s="4"/>
    </row>
    <row r="159" spans="38:68" ht="16.149999999999999" x14ac:dyDescent="0.4">
      <c r="AL159" s="13"/>
      <c r="AM159" s="225" t="s">
        <v>269</v>
      </c>
      <c r="AN159" s="228">
        <v>99.18</v>
      </c>
      <c r="AO159" s="225" t="s">
        <v>270</v>
      </c>
      <c r="AP159" s="232">
        <f t="shared" si="98"/>
        <v>100</v>
      </c>
      <c r="AQ159" s="230">
        <v>100</v>
      </c>
      <c r="AR159" s="230">
        <v>100</v>
      </c>
      <c r="AS159" s="235" t="s">
        <v>178</v>
      </c>
      <c r="AT159" s="235" t="s">
        <v>178</v>
      </c>
      <c r="AU159" s="235" t="s">
        <v>178</v>
      </c>
      <c r="BP159" s="4"/>
    </row>
    <row r="160" spans="38:68" ht="16.149999999999999" x14ac:dyDescent="0.4">
      <c r="AL160" s="13"/>
      <c r="AM160" s="221" t="s">
        <v>271</v>
      </c>
      <c r="AN160" s="228">
        <v>24.2</v>
      </c>
      <c r="AO160" s="221" t="s">
        <v>272</v>
      </c>
      <c r="AP160" s="231">
        <f t="shared" si="98"/>
        <v>23.6</v>
      </c>
      <c r="AQ160" s="230">
        <v>23.6</v>
      </c>
      <c r="AR160" s="230">
        <v>23.6</v>
      </c>
      <c r="AS160" s="231">
        <f>(AP144*(1*0+(AP142-$AN$142)/100*0+($AN$160-AP160)*0.25%*1+($AN$161-AP161)*0.04%*0+($AN$162-AP162)*0.02%*0))/((AP139*100)*(AP141*100)*7000*4.1868)*10000000</f>
        <v>0.45103408452117083</v>
      </c>
      <c r="AT160" s="231">
        <f>(AQ144*(1*0+(AQ142-$AN$142)/100*0+($AN$160-AQ160)*0.25%*1+($AN$161-AQ161)*0.04%*0+($AN$162-AQ162)*0.02%*0))/((AQ139*100)*(AQ141*100)*7000*4.1868)*10000000</f>
        <v>0.45171650291758203</v>
      </c>
      <c r="AU160" s="231">
        <f>(AR144*(1*0+(AR142-$AN$142)/100*0+($AN$160-AR160)*0.25%*1+($AN$161-AR161)*0.04%*0+($AN$162-AR162)*0.02%*0))/((AR139*100)*(AR141*100)*7000*4.1868)*10000000</f>
        <v>0.4505949077617542</v>
      </c>
      <c r="BP160" s="4"/>
    </row>
    <row r="161" spans="38:68" ht="16.149999999999999" x14ac:dyDescent="0.4">
      <c r="AL161" s="13"/>
      <c r="AM161" s="225" t="s">
        <v>273</v>
      </c>
      <c r="AN161" s="228">
        <v>566</v>
      </c>
      <c r="AO161" s="225" t="s">
        <v>274</v>
      </c>
      <c r="AP161" s="232">
        <f t="shared" si="98"/>
        <v>566</v>
      </c>
      <c r="AQ161" s="230">
        <v>566</v>
      </c>
      <c r="AR161" s="230">
        <v>566</v>
      </c>
      <c r="AS161" s="232">
        <f>(AP144*(1*0+(AP142-$AN$142)/100*0+($AN$160-AP160)*0.25%*0+($AN$161-AP161)*0.04%*1+($AN$162-AP162)*0.02%*0))/((AP139*100)*(AP141*100)*7000*4.1868)*10000000</f>
        <v>0</v>
      </c>
      <c r="AT161" s="232">
        <f>(AQ144*(1*0+(AQ142-$AN$142)/100*0+($AN$160-AQ160)*0.25%*0+($AN$161-AQ161)*0.04%*1+($AN$162-AQ162)*0.02%*0))/((AQ139*100)*(AQ141*100)*7000*4.1868)*10000000</f>
        <v>0</v>
      </c>
      <c r="AU161" s="232">
        <f>(AR144*(1*0+(AR142-$AN$142)/100*0+($AN$160-AR160)*0.25%*0+($AN$161-AR161)*0.04%*1+($AN$162-AR162)*0.02%*0))/((AR139*100)*(AR141*100)*7000*4.1868)*10000000</f>
        <v>0</v>
      </c>
      <c r="BP161" s="4"/>
    </row>
    <row r="162" spans="38:68" ht="16.149999999999999" x14ac:dyDescent="0.4">
      <c r="AL162" s="13"/>
      <c r="AM162" s="221" t="s">
        <v>275</v>
      </c>
      <c r="AN162" s="228">
        <v>566</v>
      </c>
      <c r="AO162" s="221" t="s">
        <v>276</v>
      </c>
      <c r="AP162" s="231">
        <f t="shared" si="98"/>
        <v>566</v>
      </c>
      <c r="AQ162" s="230">
        <v>566</v>
      </c>
      <c r="AR162" s="230">
        <v>566</v>
      </c>
      <c r="AS162" s="231">
        <f>(AP144*(1*0+(AP142-$AN$142)/100*0+($AN$160-AP160)*0.25%*0+($AN$161-AP161)*0.04%*0+($AN$162-AP162)*0.02%*1))/((AP139*100)*(AP141*100)*7000*4.1868)*10000000</f>
        <v>0</v>
      </c>
      <c r="AT162" s="231">
        <f>(AQ144*(1*0+(AQ142-$AN$142)/100*0+($AN$160-AQ160)*0.25%*0+($AN$161-AQ161)*0.04%*0+($AN$162-AQ162)*0.02%*1))/((AQ139*100)*(AQ141*100)*7000*4.1868)*10000000</f>
        <v>0</v>
      </c>
      <c r="AU162" s="231">
        <f>(AR144*(1*0+(AR142-$AN$142)/100*0+($AN$160-AR160)*0.25%*0+($AN$161-AR161)*0.04%*0+($AN$162-AR162)*0.02%*1))/((AR139*100)*(AR141*100)*7000*4.1868)*10000000</f>
        <v>0</v>
      </c>
      <c r="BP162" s="4"/>
    </row>
    <row r="163" spans="38:68" x14ac:dyDescent="0.4">
      <c r="AL163" s="13"/>
      <c r="AM163" s="239"/>
      <c r="AN163" s="239"/>
      <c r="AO163" s="239"/>
      <c r="AP163" s="239"/>
      <c r="AQ163" s="239"/>
      <c r="AR163" s="239"/>
      <c r="AS163" s="239"/>
      <c r="AT163" s="239"/>
      <c r="AU163" s="239"/>
      <c r="BP163" s="4"/>
    </row>
    <row r="164" spans="38:68" ht="16.899999999999999" x14ac:dyDescent="0.4">
      <c r="AL164" s="13"/>
      <c r="AM164" s="240" t="s">
        <v>277</v>
      </c>
      <c r="AN164" s="241">
        <f>AP138*AP145/1000/1000</f>
        <v>13.148787731828067</v>
      </c>
      <c r="AO164" s="240" t="s">
        <v>278</v>
      </c>
      <c r="AP164" s="242">
        <f>AP138*AP145/1000/1000*7000/AP147</f>
        <v>33.900032308303118</v>
      </c>
      <c r="AQ164" s="243">
        <f t="shared" ref="AQ164:AR164" si="99">AQ138*AQ145/1000/1000*7000/AQ147</f>
        <v>13.314244448937352</v>
      </c>
      <c r="AR164" s="243">
        <f t="shared" si="99"/>
        <v>20.585837802001944</v>
      </c>
      <c r="AS164" s="244"/>
      <c r="AT164" s="244"/>
      <c r="AU164" s="244"/>
      <c r="BP164" s="4"/>
    </row>
    <row r="165" spans="38:68" ht="38.25" x14ac:dyDescent="0.4">
      <c r="AL165" s="13"/>
      <c r="AN165" s="245" t="s">
        <v>230</v>
      </c>
      <c r="AP165" s="245" t="s">
        <v>279</v>
      </c>
      <c r="AQ165" s="245" t="s">
        <v>280</v>
      </c>
      <c r="AR165" s="245" t="s">
        <v>281</v>
      </c>
      <c r="AS165" s="246" t="s">
        <v>282</v>
      </c>
      <c r="AT165" s="246" t="s">
        <v>283</v>
      </c>
      <c r="AU165" s="246" t="s">
        <v>284</v>
      </c>
      <c r="AV165" s="246" t="s">
        <v>285</v>
      </c>
      <c r="AW165" s="246" t="s">
        <v>286</v>
      </c>
      <c r="AX165" s="247" t="s">
        <v>287</v>
      </c>
      <c r="AY165" s="247" t="s">
        <v>288</v>
      </c>
      <c r="AZ165" s="247" t="s">
        <v>289</v>
      </c>
      <c r="BA165" s="247" t="s">
        <v>290</v>
      </c>
      <c r="BB165" s="247" t="s">
        <v>291</v>
      </c>
      <c r="BC165" s="247" t="s">
        <v>292</v>
      </c>
      <c r="BD165" s="247" t="s">
        <v>293</v>
      </c>
      <c r="BE165" s="247" t="s">
        <v>294</v>
      </c>
      <c r="BF165" s="247" t="s">
        <v>295</v>
      </c>
      <c r="BG165" s="247" t="s">
        <v>296</v>
      </c>
      <c r="BH165" s="247" t="s">
        <v>297</v>
      </c>
      <c r="BI165" s="247" t="s">
        <v>298</v>
      </c>
      <c r="BJ165" s="247" t="s">
        <v>299</v>
      </c>
      <c r="BK165" s="247" t="s">
        <v>300</v>
      </c>
      <c r="BL165" s="247" t="s">
        <v>301</v>
      </c>
      <c r="BM165" s="247" t="s">
        <v>302</v>
      </c>
      <c r="BN165" s="247" t="s">
        <v>303</v>
      </c>
      <c r="BO165" s="247" t="s">
        <v>304</v>
      </c>
      <c r="BP165" s="4"/>
    </row>
    <row r="166" spans="38:68" ht="19.149999999999999" x14ac:dyDescent="0.4">
      <c r="AL166" s="13"/>
      <c r="AN166" s="248">
        <f>100-SUM(AN167,AN175,AN184,AN188)</f>
        <v>91.480045231009882</v>
      </c>
      <c r="AP166" s="248">
        <f>100-SUM(AP167,AP175,AP184,AP188)</f>
        <v>89.164866416876961</v>
      </c>
      <c r="AQ166" s="248">
        <f t="shared" ref="AQ166:BO166" si="100">100-SUM(AQ167,AQ175,AQ184,AQ188)</f>
        <v>89.028910356446517</v>
      </c>
      <c r="AR166" s="248">
        <f t="shared" si="100"/>
        <v>89.248657074899612</v>
      </c>
      <c r="AS166" s="248">
        <f t="shared" si="100"/>
        <v>90.47580358389078</v>
      </c>
      <c r="AT166" s="248">
        <f t="shared" si="100"/>
        <v>91.024558665931167</v>
      </c>
      <c r="AU166" s="248">
        <f t="shared" si="100"/>
        <v>90.955828659420348</v>
      </c>
      <c r="AV166" s="248">
        <f t="shared" si="100"/>
        <v>90.955828659420348</v>
      </c>
      <c r="AW166" s="248">
        <f t="shared" si="100"/>
        <v>90.955828659420348</v>
      </c>
      <c r="AX166" s="248">
        <f t="shared" si="100"/>
        <v>90.957960350009927</v>
      </c>
      <c r="AY166" s="248">
        <f t="shared" si="100"/>
        <v>90.957960350009927</v>
      </c>
      <c r="AZ166" s="248">
        <f t="shared" si="100"/>
        <v>90.957960350009927</v>
      </c>
      <c r="BA166" s="248">
        <f t="shared" si="100"/>
        <v>91.155063477874833</v>
      </c>
      <c r="BB166" s="248">
        <f t="shared" si="100"/>
        <v>91.155063477874833</v>
      </c>
      <c r="BC166" s="248">
        <f t="shared" si="100"/>
        <v>91.155063477874833</v>
      </c>
      <c r="BD166" s="248">
        <f t="shared" si="100"/>
        <v>91.086525011415205</v>
      </c>
      <c r="BE166" s="248">
        <f t="shared" si="100"/>
        <v>91.071157364540127</v>
      </c>
      <c r="BF166" s="248">
        <f t="shared" si="100"/>
        <v>91.096439622302341</v>
      </c>
      <c r="BG166" s="248">
        <f t="shared" si="100"/>
        <v>91.461503163626332</v>
      </c>
      <c r="BH166" s="248">
        <f t="shared" si="100"/>
        <v>91.348341002109322</v>
      </c>
      <c r="BI166" s="248">
        <f t="shared" si="100"/>
        <v>91.531187138892264</v>
      </c>
      <c r="BJ166" s="248">
        <f t="shared" si="100"/>
        <v>91.287401234447913</v>
      </c>
      <c r="BK166" s="248">
        <f t="shared" si="100"/>
        <v>91.287401234447913</v>
      </c>
      <c r="BL166" s="248">
        <f t="shared" si="100"/>
        <v>91.287401234447913</v>
      </c>
      <c r="BM166" s="248">
        <f t="shared" si="100"/>
        <v>91.207769288902554</v>
      </c>
      <c r="BN166" s="248">
        <f t="shared" si="100"/>
        <v>91.207769288902554</v>
      </c>
      <c r="BO166" s="248">
        <f t="shared" si="100"/>
        <v>91.207769288902554</v>
      </c>
      <c r="BP166" s="4"/>
    </row>
    <row r="167" spans="38:68" ht="19.149999999999999" x14ac:dyDescent="0.4">
      <c r="AL167" s="13"/>
      <c r="AM167" s="249"/>
      <c r="AN167" s="250">
        <f>(AN171*AN168+AN172)*(AN169-AN170)/100</f>
        <v>4.5120000000000005</v>
      </c>
      <c r="AO167" s="251" t="s">
        <v>305</v>
      </c>
      <c r="AP167" s="250">
        <f>(AP171*AP168+AP172)*(AP169-AP170)/100</f>
        <v>4.6092537938556619</v>
      </c>
      <c r="AQ167" s="250">
        <f t="shared" ref="AQ167:BO167" si="101">(AQ171*AQ168+AQ172)*(AQ169-AQ170)/100</f>
        <v>4.7441750774410778</v>
      </c>
      <c r="AR167" s="250">
        <f t="shared" si="101"/>
        <v>4.5261307337975358</v>
      </c>
      <c r="AS167" s="250">
        <f t="shared" si="101"/>
        <v>4.5120000000000005</v>
      </c>
      <c r="AT167" s="250">
        <f t="shared" si="101"/>
        <v>4.5120000000000005</v>
      </c>
      <c r="AU167" s="250">
        <f t="shared" si="101"/>
        <v>4.5120000000000005</v>
      </c>
      <c r="AV167" s="250">
        <f t="shared" si="101"/>
        <v>4.5120000000000005</v>
      </c>
      <c r="AW167" s="250">
        <f t="shared" si="101"/>
        <v>4.5120000000000005</v>
      </c>
      <c r="AX167" s="250">
        <f t="shared" si="101"/>
        <v>4.5120000000000005</v>
      </c>
      <c r="AY167" s="250">
        <f t="shared" si="101"/>
        <v>4.5120000000000005</v>
      </c>
      <c r="AZ167" s="250">
        <f t="shared" si="101"/>
        <v>4.5120000000000005</v>
      </c>
      <c r="BA167" s="250">
        <f t="shared" si="101"/>
        <v>4.6295000000000002</v>
      </c>
      <c r="BB167" s="250">
        <f t="shared" si="101"/>
        <v>4.6295000000000002</v>
      </c>
      <c r="BC167" s="250">
        <f t="shared" si="101"/>
        <v>4.6295000000000002</v>
      </c>
      <c r="BD167" s="250">
        <f t="shared" si="101"/>
        <v>4.6905999999999999</v>
      </c>
      <c r="BE167" s="250">
        <f t="shared" si="101"/>
        <v>4.7051699999999999</v>
      </c>
      <c r="BF167" s="250">
        <f t="shared" si="101"/>
        <v>4.6812000000000005</v>
      </c>
      <c r="BG167" s="250">
        <f t="shared" si="101"/>
        <v>4.32539945464461</v>
      </c>
      <c r="BH167" s="250">
        <f t="shared" si="101"/>
        <v>4.4385616161616168</v>
      </c>
      <c r="BI167" s="250">
        <f t="shared" si="101"/>
        <v>4.255715479378682</v>
      </c>
      <c r="BJ167" s="250">
        <f t="shared" si="101"/>
        <v>4.5120000000000005</v>
      </c>
      <c r="BK167" s="250">
        <f t="shared" si="101"/>
        <v>4.5120000000000005</v>
      </c>
      <c r="BL167" s="250">
        <f t="shared" si="101"/>
        <v>4.5120000000000005</v>
      </c>
      <c r="BM167" s="250">
        <f t="shared" si="101"/>
        <v>4.5120000000000005</v>
      </c>
      <c r="BN167" s="250">
        <f t="shared" si="101"/>
        <v>4.5120000000000005</v>
      </c>
      <c r="BO167" s="250">
        <f t="shared" si="101"/>
        <v>4.5120000000000005</v>
      </c>
      <c r="BP167" s="4"/>
    </row>
    <row r="168" spans="38:68" ht="19.149999999999999" x14ac:dyDescent="0.4">
      <c r="AL168" s="13"/>
      <c r="AM168" s="249"/>
      <c r="AN168" s="250">
        <f>21/(21-AN173)</f>
        <v>1.2</v>
      </c>
      <c r="AO168" s="251" t="s">
        <v>306</v>
      </c>
      <c r="AP168" s="250">
        <f>21/(21-AP173)</f>
        <v>1.1452463188511179</v>
      </c>
      <c r="AQ168" s="250">
        <f t="shared" ref="AQ168:BO168" si="102">21/(21-AQ173)</f>
        <v>1.1784511784511784</v>
      </c>
      <c r="AR168" s="250">
        <f t="shared" si="102"/>
        <v>1.1247991430101767</v>
      </c>
      <c r="AS168" s="250">
        <f t="shared" si="102"/>
        <v>1.2</v>
      </c>
      <c r="AT168" s="250">
        <f t="shared" si="102"/>
        <v>1.2</v>
      </c>
      <c r="AU168" s="250">
        <f t="shared" si="102"/>
        <v>1.2</v>
      </c>
      <c r="AV168" s="250">
        <f t="shared" si="102"/>
        <v>1.2</v>
      </c>
      <c r="AW168" s="250">
        <f t="shared" si="102"/>
        <v>1.2</v>
      </c>
      <c r="AX168" s="250">
        <f t="shared" si="102"/>
        <v>1.2</v>
      </c>
      <c r="AY168" s="250">
        <f t="shared" si="102"/>
        <v>1.2</v>
      </c>
      <c r="AZ168" s="250">
        <f t="shared" si="102"/>
        <v>1.2</v>
      </c>
      <c r="BA168" s="250">
        <f t="shared" si="102"/>
        <v>1.2</v>
      </c>
      <c r="BB168" s="250">
        <f t="shared" si="102"/>
        <v>1.2</v>
      </c>
      <c r="BC168" s="250">
        <f t="shared" si="102"/>
        <v>1.2</v>
      </c>
      <c r="BD168" s="250">
        <f t="shared" si="102"/>
        <v>1.2</v>
      </c>
      <c r="BE168" s="250">
        <f t="shared" si="102"/>
        <v>1.2</v>
      </c>
      <c r="BF168" s="250">
        <f t="shared" si="102"/>
        <v>1.2</v>
      </c>
      <c r="BG168" s="250">
        <f t="shared" si="102"/>
        <v>1.1452463188511179</v>
      </c>
      <c r="BH168" s="250">
        <f t="shared" si="102"/>
        <v>1.1784511784511784</v>
      </c>
      <c r="BI168" s="250">
        <f t="shared" si="102"/>
        <v>1.1247991430101767</v>
      </c>
      <c r="BJ168" s="250">
        <f t="shared" si="102"/>
        <v>1.2</v>
      </c>
      <c r="BK168" s="250">
        <f t="shared" si="102"/>
        <v>1.2</v>
      </c>
      <c r="BL168" s="250">
        <f t="shared" si="102"/>
        <v>1.2</v>
      </c>
      <c r="BM168" s="250">
        <f t="shared" si="102"/>
        <v>1.2</v>
      </c>
      <c r="BN168" s="250">
        <f t="shared" si="102"/>
        <v>1.2</v>
      </c>
      <c r="BO168" s="250">
        <f t="shared" si="102"/>
        <v>1.2</v>
      </c>
      <c r="BP168" s="4"/>
    </row>
    <row r="169" spans="38:68" ht="19.149999999999999" x14ac:dyDescent="0.4">
      <c r="AL169" s="13"/>
      <c r="AM169" s="249"/>
      <c r="AN169" s="252">
        <f>AN152</f>
        <v>131</v>
      </c>
      <c r="AO169" s="251" t="s">
        <v>307</v>
      </c>
      <c r="AP169" s="252">
        <f t="shared" ref="AP169:AR170" si="103">AP152</f>
        <v>133.5</v>
      </c>
      <c r="AQ169" s="252">
        <f t="shared" si="103"/>
        <v>133.5</v>
      </c>
      <c r="AR169" s="252">
        <f t="shared" si="103"/>
        <v>133.5</v>
      </c>
      <c r="AS169" s="252">
        <f t="shared" ref="AS169:AZ169" si="104">$AN$169</f>
        <v>131</v>
      </c>
      <c r="AT169" s="252">
        <f t="shared" si="104"/>
        <v>131</v>
      </c>
      <c r="AU169" s="252">
        <f t="shared" si="104"/>
        <v>131</v>
      </c>
      <c r="AV169" s="252">
        <f t="shared" si="104"/>
        <v>131</v>
      </c>
      <c r="AW169" s="252">
        <f t="shared" si="104"/>
        <v>131</v>
      </c>
      <c r="AX169" s="252">
        <f t="shared" si="104"/>
        <v>131</v>
      </c>
      <c r="AY169" s="252">
        <f t="shared" si="104"/>
        <v>131</v>
      </c>
      <c r="AZ169" s="252">
        <f t="shared" si="104"/>
        <v>131</v>
      </c>
      <c r="BA169" s="252">
        <f>AP152</f>
        <v>133.5</v>
      </c>
      <c r="BB169" s="252">
        <f>AQ152</f>
        <v>133.5</v>
      </c>
      <c r="BC169" s="252">
        <f>AR152</f>
        <v>133.5</v>
      </c>
      <c r="BD169" s="252">
        <f t="shared" ref="BD169:BO169" si="105">$AN$169</f>
        <v>131</v>
      </c>
      <c r="BE169" s="252">
        <f t="shared" si="105"/>
        <v>131</v>
      </c>
      <c r="BF169" s="252">
        <f t="shared" si="105"/>
        <v>131</v>
      </c>
      <c r="BG169" s="252">
        <f t="shared" si="105"/>
        <v>131</v>
      </c>
      <c r="BH169" s="252">
        <f t="shared" si="105"/>
        <v>131</v>
      </c>
      <c r="BI169" s="252">
        <f t="shared" si="105"/>
        <v>131</v>
      </c>
      <c r="BJ169" s="252">
        <f t="shared" si="105"/>
        <v>131</v>
      </c>
      <c r="BK169" s="252">
        <f t="shared" si="105"/>
        <v>131</v>
      </c>
      <c r="BL169" s="252">
        <f t="shared" si="105"/>
        <v>131</v>
      </c>
      <c r="BM169" s="252">
        <f t="shared" si="105"/>
        <v>131</v>
      </c>
      <c r="BN169" s="252">
        <f t="shared" si="105"/>
        <v>131</v>
      </c>
      <c r="BO169" s="252">
        <f t="shared" si="105"/>
        <v>131</v>
      </c>
      <c r="BP169" s="4"/>
    </row>
    <row r="170" spans="38:68" ht="19.149999999999999" x14ac:dyDescent="0.4">
      <c r="AL170" s="13"/>
      <c r="AM170" s="249"/>
      <c r="AN170" s="252">
        <f>AN153</f>
        <v>35</v>
      </c>
      <c r="AO170" s="251" t="s">
        <v>308</v>
      </c>
      <c r="AP170" s="252">
        <f t="shared" si="103"/>
        <v>31.200000000000003</v>
      </c>
      <c r="AQ170" s="252">
        <f t="shared" si="103"/>
        <v>30.89</v>
      </c>
      <c r="AR170" s="252">
        <f t="shared" si="103"/>
        <v>31.4</v>
      </c>
      <c r="AS170" s="252">
        <f t="shared" ref="AS170:BC170" si="106">$AN$170</f>
        <v>35</v>
      </c>
      <c r="AT170" s="252">
        <f t="shared" si="106"/>
        <v>35</v>
      </c>
      <c r="AU170" s="252">
        <f t="shared" si="106"/>
        <v>35</v>
      </c>
      <c r="AV170" s="252">
        <f t="shared" si="106"/>
        <v>35</v>
      </c>
      <c r="AW170" s="252">
        <f t="shared" si="106"/>
        <v>35</v>
      </c>
      <c r="AX170" s="252">
        <f t="shared" si="106"/>
        <v>35</v>
      </c>
      <c r="AY170" s="252">
        <f t="shared" si="106"/>
        <v>35</v>
      </c>
      <c r="AZ170" s="252">
        <f t="shared" si="106"/>
        <v>35</v>
      </c>
      <c r="BA170" s="252">
        <f t="shared" si="106"/>
        <v>35</v>
      </c>
      <c r="BB170" s="252">
        <f t="shared" si="106"/>
        <v>35</v>
      </c>
      <c r="BC170" s="252">
        <f t="shared" si="106"/>
        <v>35</v>
      </c>
      <c r="BD170" s="252">
        <f>AP153</f>
        <v>31.200000000000003</v>
      </c>
      <c r="BE170" s="252">
        <f>AQ153</f>
        <v>30.89</v>
      </c>
      <c r="BF170" s="252">
        <f>AR153</f>
        <v>31.4</v>
      </c>
      <c r="BG170" s="252">
        <f t="shared" ref="BG170:BO170" si="107">$AN$170</f>
        <v>35</v>
      </c>
      <c r="BH170" s="252">
        <f t="shared" si="107"/>
        <v>35</v>
      </c>
      <c r="BI170" s="252">
        <f t="shared" si="107"/>
        <v>35</v>
      </c>
      <c r="BJ170" s="252">
        <f t="shared" si="107"/>
        <v>35</v>
      </c>
      <c r="BK170" s="252">
        <f t="shared" si="107"/>
        <v>35</v>
      </c>
      <c r="BL170" s="252">
        <f t="shared" si="107"/>
        <v>35</v>
      </c>
      <c r="BM170" s="252">
        <f t="shared" si="107"/>
        <v>35</v>
      </c>
      <c r="BN170" s="252">
        <f t="shared" si="107"/>
        <v>35</v>
      </c>
      <c r="BO170" s="252">
        <f t="shared" si="107"/>
        <v>35</v>
      </c>
      <c r="BP170" s="4"/>
    </row>
    <row r="171" spans="38:68" ht="19.149999999999999" x14ac:dyDescent="0.4">
      <c r="AL171" s="13"/>
      <c r="AM171" s="249"/>
      <c r="AN171" s="253">
        <v>3.55</v>
      </c>
      <c r="AO171" s="251" t="s">
        <v>309</v>
      </c>
      <c r="AP171" s="253">
        <v>3.55</v>
      </c>
      <c r="AQ171" s="253">
        <v>3.55</v>
      </c>
      <c r="AR171" s="253">
        <v>3.55</v>
      </c>
      <c r="AS171" s="253">
        <v>3.55</v>
      </c>
      <c r="AT171" s="253">
        <v>3.55</v>
      </c>
      <c r="AU171" s="253">
        <v>3.55</v>
      </c>
      <c r="AV171" s="253">
        <v>3.55</v>
      </c>
      <c r="AW171" s="253">
        <v>3.55</v>
      </c>
      <c r="AX171" s="253">
        <v>3.55</v>
      </c>
      <c r="AY171" s="253">
        <v>3.55</v>
      </c>
      <c r="AZ171" s="253">
        <v>3.55</v>
      </c>
      <c r="BA171" s="253">
        <v>3.55</v>
      </c>
      <c r="BB171" s="253">
        <v>3.55</v>
      </c>
      <c r="BC171" s="253">
        <v>3.55</v>
      </c>
      <c r="BD171" s="253">
        <v>3.55</v>
      </c>
      <c r="BE171" s="253">
        <v>3.55</v>
      </c>
      <c r="BF171" s="253">
        <v>3.55</v>
      </c>
      <c r="BG171" s="253">
        <v>3.55</v>
      </c>
      <c r="BH171" s="253">
        <v>3.55</v>
      </c>
      <c r="BI171" s="253">
        <v>3.55</v>
      </c>
      <c r="BJ171" s="253">
        <v>3.55</v>
      </c>
      <c r="BK171" s="253">
        <v>3.55</v>
      </c>
      <c r="BL171" s="253">
        <v>3.55</v>
      </c>
      <c r="BM171" s="253">
        <v>3.55</v>
      </c>
      <c r="BN171" s="253">
        <v>3.55</v>
      </c>
      <c r="BO171" s="253">
        <v>3.55</v>
      </c>
      <c r="BP171" s="4"/>
    </row>
    <row r="172" spans="38:68" ht="19.149999999999999" x14ac:dyDescent="0.4">
      <c r="AL172" s="13"/>
      <c r="AM172" s="249"/>
      <c r="AN172" s="253">
        <v>0.44</v>
      </c>
      <c r="AO172" s="251" t="s">
        <v>310</v>
      </c>
      <c r="AP172" s="253">
        <v>0.44</v>
      </c>
      <c r="AQ172" s="253">
        <v>0.44</v>
      </c>
      <c r="AR172" s="253">
        <v>0.44</v>
      </c>
      <c r="AS172" s="253">
        <v>0.44</v>
      </c>
      <c r="AT172" s="253">
        <v>0.44</v>
      </c>
      <c r="AU172" s="253">
        <v>0.44</v>
      </c>
      <c r="AV172" s="253">
        <v>0.44</v>
      </c>
      <c r="AW172" s="253">
        <v>0.44</v>
      </c>
      <c r="AX172" s="253">
        <v>0.44</v>
      </c>
      <c r="AY172" s="253">
        <v>0.44</v>
      </c>
      <c r="AZ172" s="253">
        <v>0.44</v>
      </c>
      <c r="BA172" s="253">
        <v>0.44</v>
      </c>
      <c r="BB172" s="253">
        <v>0.44</v>
      </c>
      <c r="BC172" s="253">
        <v>0.44</v>
      </c>
      <c r="BD172" s="253">
        <v>0.44</v>
      </c>
      <c r="BE172" s="253">
        <v>0.44</v>
      </c>
      <c r="BF172" s="253">
        <v>0.44</v>
      </c>
      <c r="BG172" s="253">
        <v>0.44</v>
      </c>
      <c r="BH172" s="253">
        <v>0.44</v>
      </c>
      <c r="BI172" s="253">
        <v>0.44</v>
      </c>
      <c r="BJ172" s="253">
        <v>0.44</v>
      </c>
      <c r="BK172" s="253">
        <v>0.44</v>
      </c>
      <c r="BL172" s="253">
        <v>0.44</v>
      </c>
      <c r="BM172" s="253">
        <v>0.44</v>
      </c>
      <c r="BN172" s="253">
        <v>0.44</v>
      </c>
      <c r="BO172" s="253">
        <v>0.44</v>
      </c>
      <c r="BP172" s="4"/>
    </row>
    <row r="173" spans="38:68" ht="19.149999999999999" x14ac:dyDescent="0.4">
      <c r="AL173" s="13"/>
      <c r="AM173" s="249"/>
      <c r="AN173" s="252">
        <f>AN154</f>
        <v>3.5</v>
      </c>
      <c r="AO173" s="251" t="s">
        <v>311</v>
      </c>
      <c r="AP173" s="252">
        <f>AP154</f>
        <v>2.6633333333333336</v>
      </c>
      <c r="AQ173" s="252">
        <f>AQ154</f>
        <v>3.18</v>
      </c>
      <c r="AR173" s="252">
        <f>AR154</f>
        <v>2.33</v>
      </c>
      <c r="AS173" s="252">
        <f t="shared" ref="AS173:BF173" si="108">$AN$173</f>
        <v>3.5</v>
      </c>
      <c r="AT173" s="252">
        <f t="shared" si="108"/>
        <v>3.5</v>
      </c>
      <c r="AU173" s="252">
        <f t="shared" si="108"/>
        <v>3.5</v>
      </c>
      <c r="AV173" s="252">
        <f t="shared" si="108"/>
        <v>3.5</v>
      </c>
      <c r="AW173" s="252">
        <f t="shared" si="108"/>
        <v>3.5</v>
      </c>
      <c r="AX173" s="252">
        <f t="shared" si="108"/>
        <v>3.5</v>
      </c>
      <c r="AY173" s="252">
        <f t="shared" si="108"/>
        <v>3.5</v>
      </c>
      <c r="AZ173" s="252">
        <f t="shared" si="108"/>
        <v>3.5</v>
      </c>
      <c r="BA173" s="252">
        <f t="shared" si="108"/>
        <v>3.5</v>
      </c>
      <c r="BB173" s="252">
        <f t="shared" si="108"/>
        <v>3.5</v>
      </c>
      <c r="BC173" s="252">
        <f t="shared" si="108"/>
        <v>3.5</v>
      </c>
      <c r="BD173" s="252">
        <f t="shared" si="108"/>
        <v>3.5</v>
      </c>
      <c r="BE173" s="252">
        <f t="shared" si="108"/>
        <v>3.5</v>
      </c>
      <c r="BF173" s="252">
        <f t="shared" si="108"/>
        <v>3.5</v>
      </c>
      <c r="BG173" s="252">
        <f>AP154</f>
        <v>2.6633333333333336</v>
      </c>
      <c r="BH173" s="252">
        <f>AQ154</f>
        <v>3.18</v>
      </c>
      <c r="BI173" s="252">
        <f>AR154</f>
        <v>2.33</v>
      </c>
      <c r="BJ173" s="252">
        <f t="shared" ref="BJ173:BO173" si="109">$AN$173</f>
        <v>3.5</v>
      </c>
      <c r="BK173" s="252">
        <f t="shared" si="109"/>
        <v>3.5</v>
      </c>
      <c r="BL173" s="252">
        <f t="shared" si="109"/>
        <v>3.5</v>
      </c>
      <c r="BM173" s="252">
        <f t="shared" si="109"/>
        <v>3.5</v>
      </c>
      <c r="BN173" s="252">
        <f t="shared" si="109"/>
        <v>3.5</v>
      </c>
      <c r="BO173" s="252">
        <f t="shared" si="109"/>
        <v>3.5</v>
      </c>
      <c r="BP173" s="4"/>
    </row>
    <row r="174" spans="38:68" ht="19.149999999999999" x14ac:dyDescent="0.4">
      <c r="AL174" s="13"/>
      <c r="AM174" s="254"/>
      <c r="AN174" s="255"/>
      <c r="AO174" s="256"/>
      <c r="AP174" s="255"/>
      <c r="AQ174" s="255"/>
      <c r="AR174" s="255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255"/>
      <c r="BH174" s="255"/>
      <c r="BI174" s="255"/>
      <c r="BJ174" s="255"/>
      <c r="BK174" s="255"/>
      <c r="BL174" s="255"/>
      <c r="BM174" s="255"/>
      <c r="BN174" s="255"/>
      <c r="BO174" s="255"/>
      <c r="BP174" s="4"/>
    </row>
    <row r="175" spans="38:68" ht="19.149999999999999" x14ac:dyDescent="0.4">
      <c r="AL175" s="13"/>
      <c r="AM175" s="249"/>
      <c r="AN175" s="250">
        <f>337.27*AN176/AN177*AN178</f>
        <v>2.3448511474837233</v>
      </c>
      <c r="AO175" s="251" t="s">
        <v>312</v>
      </c>
      <c r="AP175" s="250">
        <f>337.27*AP176/AP177*AP178</f>
        <v>3.836163092726899</v>
      </c>
      <c r="AQ175" s="250">
        <f t="shared" ref="AQ175:BO175" si="110">337.27*AQ176/AQ177*AQ178</f>
        <v>3.836163092726899</v>
      </c>
      <c r="AR175" s="250">
        <f t="shared" si="110"/>
        <v>3.836163092726899</v>
      </c>
      <c r="AS175" s="250">
        <f t="shared" si="110"/>
        <v>2.8379137712493709</v>
      </c>
      <c r="AT175" s="250">
        <f t="shared" si="110"/>
        <v>2.4993191679341016</v>
      </c>
      <c r="AU175" s="250">
        <f t="shared" si="110"/>
        <v>2.6632725346179278</v>
      </c>
      <c r="AV175" s="250">
        <f t="shared" si="110"/>
        <v>2.6632725346179278</v>
      </c>
      <c r="AW175" s="250">
        <f t="shared" si="110"/>
        <v>2.6632725346179278</v>
      </c>
      <c r="AX175" s="250">
        <f t="shared" si="110"/>
        <v>2.6553440166164588</v>
      </c>
      <c r="AY175" s="250">
        <f t="shared" si="110"/>
        <v>2.6553440166164588</v>
      </c>
      <c r="AZ175" s="250">
        <f t="shared" si="110"/>
        <v>2.6553440166164588</v>
      </c>
      <c r="BA175" s="250">
        <f t="shared" si="110"/>
        <v>2.3448511474837237</v>
      </c>
      <c r="BB175" s="250">
        <f t="shared" si="110"/>
        <v>2.3448511474837237</v>
      </c>
      <c r="BC175" s="250">
        <f t="shared" si="110"/>
        <v>2.3448511474837237</v>
      </c>
      <c r="BD175" s="250">
        <f t="shared" si="110"/>
        <v>2.3448511474837237</v>
      </c>
      <c r="BE175" s="250">
        <f t="shared" si="110"/>
        <v>2.3448511474837237</v>
      </c>
      <c r="BF175" s="250">
        <f t="shared" si="110"/>
        <v>2.3448511474837237</v>
      </c>
      <c r="BG175" s="250">
        <f t="shared" si="110"/>
        <v>2.3448511474837237</v>
      </c>
      <c r="BH175" s="250">
        <f t="shared" si="110"/>
        <v>2.3448511474837237</v>
      </c>
      <c r="BI175" s="250">
        <f t="shared" si="110"/>
        <v>2.3448511474837237</v>
      </c>
      <c r="BJ175" s="250">
        <f t="shared" si="110"/>
        <v>2.3448511474837237</v>
      </c>
      <c r="BK175" s="250">
        <f t="shared" si="110"/>
        <v>2.3448511474837237</v>
      </c>
      <c r="BL175" s="250">
        <f t="shared" si="110"/>
        <v>2.3448511474837237</v>
      </c>
      <c r="BM175" s="250">
        <f t="shared" si="110"/>
        <v>2.3448511474837237</v>
      </c>
      <c r="BN175" s="250">
        <f t="shared" si="110"/>
        <v>2.3448511474837237</v>
      </c>
      <c r="BO175" s="250">
        <f t="shared" si="110"/>
        <v>2.3448511474837237</v>
      </c>
      <c r="BP175" s="4"/>
    </row>
    <row r="176" spans="38:68" ht="19.149999999999999" x14ac:dyDescent="0.4">
      <c r="AL176" s="13"/>
      <c r="AM176" s="249"/>
      <c r="AN176" s="252">
        <f>AN149</f>
        <v>43.74</v>
      </c>
      <c r="AO176" s="251" t="s">
        <v>313</v>
      </c>
      <c r="AP176" s="252">
        <f>AP149</f>
        <v>46.621390241657735</v>
      </c>
      <c r="AQ176" s="252">
        <f>AQ149</f>
        <v>46.621390241657728</v>
      </c>
      <c r="AR176" s="252">
        <f>AR149</f>
        <v>46.621390241657728</v>
      </c>
      <c r="AS176" s="252">
        <f>$AN$176</f>
        <v>43.74</v>
      </c>
      <c r="AT176" s="252">
        <f>AP149</f>
        <v>46.621390241657735</v>
      </c>
      <c r="AU176" s="252">
        <f t="shared" ref="AU176:BO176" si="111">$AN$176</f>
        <v>43.74</v>
      </c>
      <c r="AV176" s="252">
        <f t="shared" si="111"/>
        <v>43.74</v>
      </c>
      <c r="AW176" s="252">
        <f t="shared" si="111"/>
        <v>43.74</v>
      </c>
      <c r="AX176" s="252">
        <f t="shared" si="111"/>
        <v>43.74</v>
      </c>
      <c r="AY176" s="252">
        <f t="shared" si="111"/>
        <v>43.74</v>
      </c>
      <c r="AZ176" s="252">
        <f t="shared" si="111"/>
        <v>43.74</v>
      </c>
      <c r="BA176" s="252">
        <f t="shared" si="111"/>
        <v>43.74</v>
      </c>
      <c r="BB176" s="252">
        <f t="shared" si="111"/>
        <v>43.74</v>
      </c>
      <c r="BC176" s="252">
        <f t="shared" si="111"/>
        <v>43.74</v>
      </c>
      <c r="BD176" s="252">
        <f t="shared" si="111"/>
        <v>43.74</v>
      </c>
      <c r="BE176" s="252">
        <f t="shared" si="111"/>
        <v>43.74</v>
      </c>
      <c r="BF176" s="252">
        <f t="shared" si="111"/>
        <v>43.74</v>
      </c>
      <c r="BG176" s="252">
        <f t="shared" si="111"/>
        <v>43.74</v>
      </c>
      <c r="BH176" s="252">
        <f t="shared" si="111"/>
        <v>43.74</v>
      </c>
      <c r="BI176" s="252">
        <f t="shared" si="111"/>
        <v>43.74</v>
      </c>
      <c r="BJ176" s="252">
        <f t="shared" si="111"/>
        <v>43.74</v>
      </c>
      <c r="BK176" s="252">
        <f t="shared" si="111"/>
        <v>43.74</v>
      </c>
      <c r="BL176" s="252">
        <f t="shared" si="111"/>
        <v>43.74</v>
      </c>
      <c r="BM176" s="252">
        <f t="shared" si="111"/>
        <v>43.74</v>
      </c>
      <c r="BN176" s="252">
        <f t="shared" si="111"/>
        <v>43.74</v>
      </c>
      <c r="BO176" s="252">
        <f t="shared" si="111"/>
        <v>43.74</v>
      </c>
      <c r="BP176" s="4"/>
    </row>
    <row r="177" spans="38:68" ht="19.149999999999999" x14ac:dyDescent="0.4">
      <c r="AL177" s="13"/>
      <c r="AM177" s="249"/>
      <c r="AN177" s="252">
        <f>AN147*4.1868</f>
        <v>13757.8248</v>
      </c>
      <c r="AO177" s="251" t="s">
        <v>314</v>
      </c>
      <c r="AP177" s="252">
        <f>AP147*4.1868</f>
        <v>11367.5234237148</v>
      </c>
      <c r="AQ177" s="252">
        <f>AQ147*4.1868</f>
        <v>11367.5234237148</v>
      </c>
      <c r="AR177" s="252">
        <f>AR147*4.1868</f>
        <v>11367.5234237148</v>
      </c>
      <c r="AS177" s="252">
        <f>AP147*4.1868</f>
        <v>11367.5234237148</v>
      </c>
      <c r="AT177" s="252">
        <f t="shared" ref="AT177:BO177" si="112">$AN$177</f>
        <v>13757.8248</v>
      </c>
      <c r="AU177" s="252">
        <f t="shared" si="112"/>
        <v>13757.8248</v>
      </c>
      <c r="AV177" s="252">
        <f t="shared" si="112"/>
        <v>13757.8248</v>
      </c>
      <c r="AW177" s="252">
        <f t="shared" si="112"/>
        <v>13757.8248</v>
      </c>
      <c r="AX177" s="252">
        <f t="shared" si="112"/>
        <v>13757.8248</v>
      </c>
      <c r="AY177" s="252">
        <f t="shared" si="112"/>
        <v>13757.8248</v>
      </c>
      <c r="AZ177" s="252">
        <f t="shared" si="112"/>
        <v>13757.8248</v>
      </c>
      <c r="BA177" s="252">
        <f t="shared" si="112"/>
        <v>13757.8248</v>
      </c>
      <c r="BB177" s="252">
        <f t="shared" si="112"/>
        <v>13757.8248</v>
      </c>
      <c r="BC177" s="252">
        <f t="shared" si="112"/>
        <v>13757.8248</v>
      </c>
      <c r="BD177" s="252">
        <f t="shared" si="112"/>
        <v>13757.8248</v>
      </c>
      <c r="BE177" s="252">
        <f t="shared" si="112"/>
        <v>13757.8248</v>
      </c>
      <c r="BF177" s="252">
        <f t="shared" si="112"/>
        <v>13757.8248</v>
      </c>
      <c r="BG177" s="252">
        <f t="shared" si="112"/>
        <v>13757.8248</v>
      </c>
      <c r="BH177" s="252">
        <f t="shared" si="112"/>
        <v>13757.8248</v>
      </c>
      <c r="BI177" s="252">
        <f t="shared" si="112"/>
        <v>13757.8248</v>
      </c>
      <c r="BJ177" s="252">
        <f t="shared" si="112"/>
        <v>13757.8248</v>
      </c>
      <c r="BK177" s="252">
        <f t="shared" si="112"/>
        <v>13757.8248</v>
      </c>
      <c r="BL177" s="252">
        <f t="shared" si="112"/>
        <v>13757.8248</v>
      </c>
      <c r="BM177" s="252">
        <f t="shared" si="112"/>
        <v>13757.8248</v>
      </c>
      <c r="BN177" s="252">
        <f t="shared" si="112"/>
        <v>13757.8248</v>
      </c>
      <c r="BO177" s="252">
        <f t="shared" si="112"/>
        <v>13757.8248</v>
      </c>
      <c r="BP177" s="4"/>
    </row>
    <row r="178" spans="38:68" ht="19.149999999999999" x14ac:dyDescent="0.4">
      <c r="AL178" s="13"/>
      <c r="AM178" s="249"/>
      <c r="AN178" s="250">
        <f>(AN179*AN181/(100-AN181)+AN180*AN182/(100-AN182))*100</f>
        <v>2.1867974657674227</v>
      </c>
      <c r="AO178" s="251" t="s">
        <v>315</v>
      </c>
      <c r="AP178" s="250">
        <f>(AP179*AP181/(100-AP181)+AP180*AP182/(100-AP182))*100</f>
        <v>2.7733200274513057</v>
      </c>
      <c r="AQ178" s="250">
        <f t="shared" ref="AQ178:BO178" si="113">(AQ179*AQ181/(100-AQ181)+AQ180*AQ182/(100-AQ182))*100</f>
        <v>2.7733200274513061</v>
      </c>
      <c r="AR178" s="250">
        <f t="shared" si="113"/>
        <v>2.7733200274513061</v>
      </c>
      <c r="AS178" s="250">
        <f t="shared" si="113"/>
        <v>2.1867974657674232</v>
      </c>
      <c r="AT178" s="250">
        <f t="shared" si="113"/>
        <v>2.1867974657674232</v>
      </c>
      <c r="AU178" s="250">
        <f t="shared" si="113"/>
        <v>2.4837557964394805</v>
      </c>
      <c r="AV178" s="250">
        <f t="shared" si="113"/>
        <v>2.4837557964394805</v>
      </c>
      <c r="AW178" s="250">
        <f t="shared" si="113"/>
        <v>2.4837557964394805</v>
      </c>
      <c r="AX178" s="250">
        <f t="shared" si="113"/>
        <v>2.4763616967792488</v>
      </c>
      <c r="AY178" s="250">
        <f t="shared" si="113"/>
        <v>2.4763616967792488</v>
      </c>
      <c r="AZ178" s="250">
        <f t="shared" si="113"/>
        <v>2.4763616967792488</v>
      </c>
      <c r="BA178" s="250">
        <f t="shared" si="113"/>
        <v>2.1867974657674232</v>
      </c>
      <c r="BB178" s="250">
        <f t="shared" si="113"/>
        <v>2.1867974657674232</v>
      </c>
      <c r="BC178" s="250">
        <f t="shared" si="113"/>
        <v>2.1867974657674232</v>
      </c>
      <c r="BD178" s="250">
        <f t="shared" si="113"/>
        <v>2.1867974657674232</v>
      </c>
      <c r="BE178" s="250">
        <f t="shared" si="113"/>
        <v>2.1867974657674232</v>
      </c>
      <c r="BF178" s="250">
        <f t="shared" si="113"/>
        <v>2.1867974657674232</v>
      </c>
      <c r="BG178" s="250">
        <f t="shared" si="113"/>
        <v>2.1867974657674232</v>
      </c>
      <c r="BH178" s="250">
        <f t="shared" si="113"/>
        <v>2.1867974657674232</v>
      </c>
      <c r="BI178" s="250">
        <f t="shared" si="113"/>
        <v>2.1867974657674232</v>
      </c>
      <c r="BJ178" s="250">
        <f t="shared" si="113"/>
        <v>2.1867974657674232</v>
      </c>
      <c r="BK178" s="250">
        <f t="shared" si="113"/>
        <v>2.1867974657674232</v>
      </c>
      <c r="BL178" s="250">
        <f t="shared" si="113"/>
        <v>2.1867974657674232</v>
      </c>
      <c r="BM178" s="250">
        <f t="shared" si="113"/>
        <v>2.1867974657674232</v>
      </c>
      <c r="BN178" s="250">
        <f t="shared" si="113"/>
        <v>2.1867974657674232</v>
      </c>
      <c r="BO178" s="250">
        <f t="shared" si="113"/>
        <v>2.1867974657674232</v>
      </c>
      <c r="BP178" s="4"/>
    </row>
    <row r="179" spans="38:68" ht="19.149999999999999" x14ac:dyDescent="0.4">
      <c r="AL179" s="13"/>
      <c r="AM179" s="249"/>
      <c r="AN179" s="253">
        <v>0.5</v>
      </c>
      <c r="AO179" s="251" t="s">
        <v>316</v>
      </c>
      <c r="AP179" s="253">
        <f>$C$19/100</f>
        <v>0.4</v>
      </c>
      <c r="AQ179" s="253">
        <f t="shared" ref="AQ179:BO179" si="114">$AP$179</f>
        <v>0.4</v>
      </c>
      <c r="AR179" s="253">
        <f t="shared" si="114"/>
        <v>0.4</v>
      </c>
      <c r="AS179" s="253">
        <f t="shared" si="114"/>
        <v>0.4</v>
      </c>
      <c r="AT179" s="253">
        <f t="shared" si="114"/>
        <v>0.4</v>
      </c>
      <c r="AU179" s="253">
        <f t="shared" si="114"/>
        <v>0.4</v>
      </c>
      <c r="AV179" s="253">
        <f t="shared" si="114"/>
        <v>0.4</v>
      </c>
      <c r="AW179" s="253">
        <f t="shared" si="114"/>
        <v>0.4</v>
      </c>
      <c r="AX179" s="253">
        <f t="shared" si="114"/>
        <v>0.4</v>
      </c>
      <c r="AY179" s="253">
        <f t="shared" si="114"/>
        <v>0.4</v>
      </c>
      <c r="AZ179" s="253">
        <f t="shared" si="114"/>
        <v>0.4</v>
      </c>
      <c r="BA179" s="253">
        <f t="shared" si="114"/>
        <v>0.4</v>
      </c>
      <c r="BB179" s="253">
        <f t="shared" si="114"/>
        <v>0.4</v>
      </c>
      <c r="BC179" s="253">
        <f t="shared" si="114"/>
        <v>0.4</v>
      </c>
      <c r="BD179" s="253">
        <f t="shared" si="114"/>
        <v>0.4</v>
      </c>
      <c r="BE179" s="253">
        <f t="shared" si="114"/>
        <v>0.4</v>
      </c>
      <c r="BF179" s="253">
        <f t="shared" si="114"/>
        <v>0.4</v>
      </c>
      <c r="BG179" s="253">
        <f t="shared" si="114"/>
        <v>0.4</v>
      </c>
      <c r="BH179" s="253">
        <f t="shared" si="114"/>
        <v>0.4</v>
      </c>
      <c r="BI179" s="253">
        <f t="shared" si="114"/>
        <v>0.4</v>
      </c>
      <c r="BJ179" s="253">
        <f t="shared" si="114"/>
        <v>0.4</v>
      </c>
      <c r="BK179" s="253">
        <f t="shared" si="114"/>
        <v>0.4</v>
      </c>
      <c r="BL179" s="253">
        <f t="shared" si="114"/>
        <v>0.4</v>
      </c>
      <c r="BM179" s="253">
        <f t="shared" si="114"/>
        <v>0.4</v>
      </c>
      <c r="BN179" s="253">
        <f t="shared" si="114"/>
        <v>0.4</v>
      </c>
      <c r="BO179" s="253">
        <f t="shared" si="114"/>
        <v>0.4</v>
      </c>
      <c r="BP179" s="4"/>
    </row>
    <row r="180" spans="38:68" ht="19.149999999999999" x14ac:dyDescent="0.4">
      <c r="AL180" s="13"/>
      <c r="AM180" s="249"/>
      <c r="AN180" s="253">
        <f>1-AN179</f>
        <v>0.5</v>
      </c>
      <c r="AO180" s="251" t="s">
        <v>317</v>
      </c>
      <c r="AP180" s="253">
        <f>1-AP179</f>
        <v>0.6</v>
      </c>
      <c r="AQ180" s="253">
        <f t="shared" ref="AQ180:BO180" si="115">$AP$180</f>
        <v>0.6</v>
      </c>
      <c r="AR180" s="253">
        <f t="shared" si="115"/>
        <v>0.6</v>
      </c>
      <c r="AS180" s="253">
        <f t="shared" si="115"/>
        <v>0.6</v>
      </c>
      <c r="AT180" s="253">
        <f t="shared" si="115"/>
        <v>0.6</v>
      </c>
      <c r="AU180" s="253">
        <f t="shared" si="115"/>
        <v>0.6</v>
      </c>
      <c r="AV180" s="253">
        <f t="shared" si="115"/>
        <v>0.6</v>
      </c>
      <c r="AW180" s="253">
        <f t="shared" si="115"/>
        <v>0.6</v>
      </c>
      <c r="AX180" s="253">
        <f t="shared" si="115"/>
        <v>0.6</v>
      </c>
      <c r="AY180" s="253">
        <f t="shared" si="115"/>
        <v>0.6</v>
      </c>
      <c r="AZ180" s="253">
        <f t="shared" si="115"/>
        <v>0.6</v>
      </c>
      <c r="BA180" s="253">
        <f t="shared" si="115"/>
        <v>0.6</v>
      </c>
      <c r="BB180" s="253">
        <f t="shared" si="115"/>
        <v>0.6</v>
      </c>
      <c r="BC180" s="253">
        <f t="shared" si="115"/>
        <v>0.6</v>
      </c>
      <c r="BD180" s="253">
        <f t="shared" si="115"/>
        <v>0.6</v>
      </c>
      <c r="BE180" s="253">
        <f t="shared" si="115"/>
        <v>0.6</v>
      </c>
      <c r="BF180" s="253">
        <f t="shared" si="115"/>
        <v>0.6</v>
      </c>
      <c r="BG180" s="253">
        <f t="shared" si="115"/>
        <v>0.6</v>
      </c>
      <c r="BH180" s="253">
        <f t="shared" si="115"/>
        <v>0.6</v>
      </c>
      <c r="BI180" s="253">
        <f t="shared" si="115"/>
        <v>0.6</v>
      </c>
      <c r="BJ180" s="253">
        <f t="shared" si="115"/>
        <v>0.6</v>
      </c>
      <c r="BK180" s="253">
        <f t="shared" si="115"/>
        <v>0.6</v>
      </c>
      <c r="BL180" s="253">
        <f t="shared" si="115"/>
        <v>0.6</v>
      </c>
      <c r="BM180" s="253">
        <f t="shared" si="115"/>
        <v>0.6</v>
      </c>
      <c r="BN180" s="253">
        <f t="shared" si="115"/>
        <v>0.6</v>
      </c>
      <c r="BO180" s="253">
        <f t="shared" si="115"/>
        <v>0.6</v>
      </c>
      <c r="BP180" s="4"/>
    </row>
    <row r="181" spans="38:68" ht="19.149999999999999" x14ac:dyDescent="0.4">
      <c r="AL181" s="13"/>
      <c r="AM181" s="249"/>
      <c r="AN181" s="252">
        <f>AN150</f>
        <v>2.14</v>
      </c>
      <c r="AO181" s="251" t="s">
        <v>318</v>
      </c>
      <c r="AP181" s="252">
        <f t="shared" ref="AP181:AR182" si="116">AP150</f>
        <v>2.8458333333333297</v>
      </c>
      <c r="AQ181" s="252">
        <f t="shared" si="116"/>
        <v>2.8458333333333301</v>
      </c>
      <c r="AR181" s="252">
        <f t="shared" si="116"/>
        <v>2.8458333333333301</v>
      </c>
      <c r="AS181" s="252">
        <f>$AN$181</f>
        <v>2.14</v>
      </c>
      <c r="AT181" s="252">
        <f>$AN$181</f>
        <v>2.14</v>
      </c>
      <c r="AU181" s="252">
        <f>AP150</f>
        <v>2.8458333333333297</v>
      </c>
      <c r="AV181" s="252">
        <f>AQ150</f>
        <v>2.8458333333333301</v>
      </c>
      <c r="AW181" s="252">
        <f>AR150</f>
        <v>2.8458333333333301</v>
      </c>
      <c r="AX181" s="252">
        <f t="shared" ref="AX181:BO181" si="117">$AN$181</f>
        <v>2.14</v>
      </c>
      <c r="AY181" s="252">
        <f t="shared" si="117"/>
        <v>2.14</v>
      </c>
      <c r="AZ181" s="252">
        <f t="shared" si="117"/>
        <v>2.14</v>
      </c>
      <c r="BA181" s="252">
        <f t="shared" si="117"/>
        <v>2.14</v>
      </c>
      <c r="BB181" s="252">
        <f t="shared" si="117"/>
        <v>2.14</v>
      </c>
      <c r="BC181" s="252">
        <f t="shared" si="117"/>
        <v>2.14</v>
      </c>
      <c r="BD181" s="252">
        <f t="shared" si="117"/>
        <v>2.14</v>
      </c>
      <c r="BE181" s="252">
        <f t="shared" si="117"/>
        <v>2.14</v>
      </c>
      <c r="BF181" s="252">
        <f t="shared" si="117"/>
        <v>2.14</v>
      </c>
      <c r="BG181" s="252">
        <f t="shared" si="117"/>
        <v>2.14</v>
      </c>
      <c r="BH181" s="252">
        <f t="shared" si="117"/>
        <v>2.14</v>
      </c>
      <c r="BI181" s="252">
        <f t="shared" si="117"/>
        <v>2.14</v>
      </c>
      <c r="BJ181" s="252">
        <f t="shared" si="117"/>
        <v>2.14</v>
      </c>
      <c r="BK181" s="252">
        <f t="shared" si="117"/>
        <v>2.14</v>
      </c>
      <c r="BL181" s="252">
        <f t="shared" si="117"/>
        <v>2.14</v>
      </c>
      <c r="BM181" s="252">
        <f t="shared" si="117"/>
        <v>2.14</v>
      </c>
      <c r="BN181" s="252">
        <f t="shared" si="117"/>
        <v>2.14</v>
      </c>
      <c r="BO181" s="252">
        <f t="shared" si="117"/>
        <v>2.14</v>
      </c>
      <c r="BP181" s="4"/>
    </row>
    <row r="182" spans="38:68" ht="19.149999999999999" x14ac:dyDescent="0.4">
      <c r="AL182" s="13"/>
      <c r="AM182" s="249"/>
      <c r="AN182" s="252">
        <f>AN151</f>
        <v>2.14</v>
      </c>
      <c r="AO182" s="251" t="s">
        <v>319</v>
      </c>
      <c r="AP182" s="252">
        <f t="shared" si="116"/>
        <v>2.6</v>
      </c>
      <c r="AQ182" s="252">
        <f t="shared" si="116"/>
        <v>2.6</v>
      </c>
      <c r="AR182" s="252">
        <f t="shared" si="116"/>
        <v>2.6</v>
      </c>
      <c r="AS182" s="252">
        <f>$AN$182</f>
        <v>2.14</v>
      </c>
      <c r="AT182" s="252">
        <f>$AN$182</f>
        <v>2.14</v>
      </c>
      <c r="AU182" s="252">
        <f>$AN$182</f>
        <v>2.14</v>
      </c>
      <c r="AV182" s="252">
        <f>$AN$182</f>
        <v>2.14</v>
      </c>
      <c r="AW182" s="252">
        <f>$AN$182</f>
        <v>2.14</v>
      </c>
      <c r="AX182" s="252">
        <f>AP151</f>
        <v>2.6</v>
      </c>
      <c r="AY182" s="252">
        <f>AQ151</f>
        <v>2.6</v>
      </c>
      <c r="AZ182" s="252">
        <f>AR151</f>
        <v>2.6</v>
      </c>
      <c r="BA182" s="252">
        <f t="shared" ref="BA182:BO182" si="118">$AN$182</f>
        <v>2.14</v>
      </c>
      <c r="BB182" s="252">
        <f t="shared" si="118"/>
        <v>2.14</v>
      </c>
      <c r="BC182" s="252">
        <f t="shared" si="118"/>
        <v>2.14</v>
      </c>
      <c r="BD182" s="252">
        <f t="shared" si="118"/>
        <v>2.14</v>
      </c>
      <c r="BE182" s="252">
        <f t="shared" si="118"/>
        <v>2.14</v>
      </c>
      <c r="BF182" s="252">
        <f t="shared" si="118"/>
        <v>2.14</v>
      </c>
      <c r="BG182" s="252">
        <f t="shared" si="118"/>
        <v>2.14</v>
      </c>
      <c r="BH182" s="252">
        <f t="shared" si="118"/>
        <v>2.14</v>
      </c>
      <c r="BI182" s="252">
        <f t="shared" si="118"/>
        <v>2.14</v>
      </c>
      <c r="BJ182" s="252">
        <f t="shared" si="118"/>
        <v>2.14</v>
      </c>
      <c r="BK182" s="252">
        <f t="shared" si="118"/>
        <v>2.14</v>
      </c>
      <c r="BL182" s="252">
        <f t="shared" si="118"/>
        <v>2.14</v>
      </c>
      <c r="BM182" s="252">
        <f t="shared" si="118"/>
        <v>2.14</v>
      </c>
      <c r="BN182" s="252">
        <f t="shared" si="118"/>
        <v>2.14</v>
      </c>
      <c r="BO182" s="252">
        <f t="shared" si="118"/>
        <v>2.14</v>
      </c>
      <c r="BP182" s="4"/>
    </row>
    <row r="183" spans="38:68" ht="19.149999999999999" x14ac:dyDescent="0.4">
      <c r="AL183" s="13"/>
      <c r="AM183" s="254"/>
      <c r="AN183" s="255"/>
      <c r="AO183" s="256"/>
      <c r="AP183" s="255"/>
      <c r="AQ183" s="255"/>
      <c r="AR183" s="255"/>
      <c r="AS183" s="255"/>
      <c r="AT183" s="255"/>
      <c r="AU183" s="255"/>
      <c r="AV183" s="255"/>
      <c r="AW183" s="255"/>
      <c r="AX183" s="255"/>
      <c r="AY183" s="255"/>
      <c r="AZ183" s="255"/>
      <c r="BA183" s="255"/>
      <c r="BB183" s="255"/>
      <c r="BC183" s="255"/>
      <c r="BD183" s="255"/>
      <c r="BE183" s="255"/>
      <c r="BF183" s="255"/>
      <c r="BG183" s="255"/>
      <c r="BH183" s="255"/>
      <c r="BI183" s="255"/>
      <c r="BJ183" s="255"/>
      <c r="BK183" s="255"/>
      <c r="BL183" s="255"/>
      <c r="BM183" s="255"/>
      <c r="BN183" s="255"/>
      <c r="BO183" s="255"/>
      <c r="BP183" s="4"/>
    </row>
    <row r="184" spans="38:68" ht="19.149999999999999" x14ac:dyDescent="0.4">
      <c r="AL184" s="13"/>
      <c r="AM184" s="249"/>
      <c r="AN184" s="250">
        <f>5.82*POWER(AN185,-0.38)*AN185/AN186</f>
        <v>0.412833079785003</v>
      </c>
      <c r="AO184" s="251" t="s">
        <v>320</v>
      </c>
      <c r="AP184" s="250">
        <f>5.82*POWER(AP185,-0.38)*AP185/AP186</f>
        <v>0.40033446360802583</v>
      </c>
      <c r="AQ184" s="250">
        <f t="shared" ref="AQ184:BO184" si="119">5.82*POWER(AQ185,-0.38)*AQ185/AQ186</f>
        <v>0.40033446360802583</v>
      </c>
      <c r="AR184" s="250">
        <f t="shared" si="119"/>
        <v>0.40033446360802583</v>
      </c>
      <c r="AS184" s="250">
        <f t="shared" si="119"/>
        <v>0.412833079785003</v>
      </c>
      <c r="AT184" s="250">
        <f t="shared" si="119"/>
        <v>0.412833079785003</v>
      </c>
      <c r="AU184" s="250">
        <f t="shared" si="119"/>
        <v>0.412833079785003</v>
      </c>
      <c r="AV184" s="250">
        <f t="shared" si="119"/>
        <v>0.412833079785003</v>
      </c>
      <c r="AW184" s="250">
        <f t="shared" si="119"/>
        <v>0.412833079785003</v>
      </c>
      <c r="AX184" s="250">
        <f t="shared" si="119"/>
        <v>0.412833079785003</v>
      </c>
      <c r="AY184" s="250">
        <f t="shared" si="119"/>
        <v>0.412833079785003</v>
      </c>
      <c r="AZ184" s="250">
        <f t="shared" si="119"/>
        <v>0.412833079785003</v>
      </c>
      <c r="BA184" s="250">
        <f t="shared" si="119"/>
        <v>0.412833079785003</v>
      </c>
      <c r="BB184" s="250">
        <f t="shared" si="119"/>
        <v>0.412833079785003</v>
      </c>
      <c r="BC184" s="250">
        <f t="shared" si="119"/>
        <v>0.412833079785003</v>
      </c>
      <c r="BD184" s="250">
        <f t="shared" si="119"/>
        <v>0.412833079785003</v>
      </c>
      <c r="BE184" s="250">
        <f t="shared" si="119"/>
        <v>0.412833079785003</v>
      </c>
      <c r="BF184" s="250">
        <f t="shared" si="119"/>
        <v>0.412833079785003</v>
      </c>
      <c r="BG184" s="250">
        <f t="shared" si="119"/>
        <v>0.412833079785003</v>
      </c>
      <c r="BH184" s="250">
        <f t="shared" si="119"/>
        <v>0.412833079785003</v>
      </c>
      <c r="BI184" s="250">
        <f t="shared" si="119"/>
        <v>0.412833079785003</v>
      </c>
      <c r="BJ184" s="250">
        <f t="shared" si="119"/>
        <v>0.40033446360802583</v>
      </c>
      <c r="BK184" s="250">
        <f t="shared" si="119"/>
        <v>0.40033446360802583</v>
      </c>
      <c r="BL184" s="250">
        <f t="shared" si="119"/>
        <v>0.40033446360802583</v>
      </c>
      <c r="BM184" s="250">
        <f t="shared" si="119"/>
        <v>0.412833079785003</v>
      </c>
      <c r="BN184" s="250">
        <f t="shared" si="119"/>
        <v>0.412833079785003</v>
      </c>
      <c r="BO184" s="250">
        <f t="shared" si="119"/>
        <v>0.412833079785003</v>
      </c>
      <c r="BP184" s="4"/>
    </row>
    <row r="185" spans="38:68" ht="19.149999999999999" x14ac:dyDescent="0.4">
      <c r="AL185" s="13"/>
      <c r="AM185" s="249"/>
      <c r="AN185" s="253">
        <f>$AN$156</f>
        <v>1057</v>
      </c>
      <c r="AO185" s="251" t="s">
        <v>321</v>
      </c>
      <c r="AP185" s="253">
        <f t="shared" ref="AP185:BO185" si="120">$AN$156</f>
        <v>1057</v>
      </c>
      <c r="AQ185" s="253">
        <f t="shared" si="120"/>
        <v>1057</v>
      </c>
      <c r="AR185" s="253">
        <f t="shared" si="120"/>
        <v>1057</v>
      </c>
      <c r="AS185" s="253">
        <f t="shared" si="120"/>
        <v>1057</v>
      </c>
      <c r="AT185" s="253">
        <f t="shared" si="120"/>
        <v>1057</v>
      </c>
      <c r="AU185" s="253">
        <f t="shared" si="120"/>
        <v>1057</v>
      </c>
      <c r="AV185" s="253">
        <f t="shared" si="120"/>
        <v>1057</v>
      </c>
      <c r="AW185" s="253">
        <f t="shared" si="120"/>
        <v>1057</v>
      </c>
      <c r="AX185" s="253">
        <f t="shared" si="120"/>
        <v>1057</v>
      </c>
      <c r="AY185" s="253">
        <f t="shared" si="120"/>
        <v>1057</v>
      </c>
      <c r="AZ185" s="253">
        <f t="shared" si="120"/>
        <v>1057</v>
      </c>
      <c r="BA185" s="253">
        <f t="shared" si="120"/>
        <v>1057</v>
      </c>
      <c r="BB185" s="253">
        <f t="shared" si="120"/>
        <v>1057</v>
      </c>
      <c r="BC185" s="253">
        <f t="shared" si="120"/>
        <v>1057</v>
      </c>
      <c r="BD185" s="253">
        <f t="shared" si="120"/>
        <v>1057</v>
      </c>
      <c r="BE185" s="253">
        <f t="shared" si="120"/>
        <v>1057</v>
      </c>
      <c r="BF185" s="253">
        <f t="shared" si="120"/>
        <v>1057</v>
      </c>
      <c r="BG185" s="253">
        <f t="shared" si="120"/>
        <v>1057</v>
      </c>
      <c r="BH185" s="253">
        <f t="shared" si="120"/>
        <v>1057</v>
      </c>
      <c r="BI185" s="253">
        <f t="shared" si="120"/>
        <v>1057</v>
      </c>
      <c r="BJ185" s="253">
        <f t="shared" si="120"/>
        <v>1057</v>
      </c>
      <c r="BK185" s="253">
        <f t="shared" si="120"/>
        <v>1057</v>
      </c>
      <c r="BL185" s="253">
        <f t="shared" si="120"/>
        <v>1057</v>
      </c>
      <c r="BM185" s="253">
        <f t="shared" si="120"/>
        <v>1057</v>
      </c>
      <c r="BN185" s="253">
        <f t="shared" si="120"/>
        <v>1057</v>
      </c>
      <c r="BO185" s="253">
        <f t="shared" si="120"/>
        <v>1057</v>
      </c>
      <c r="BP185" s="4"/>
    </row>
    <row r="186" spans="38:68" ht="19.149999999999999" x14ac:dyDescent="0.4">
      <c r="AL186" s="13"/>
      <c r="AM186" s="249"/>
      <c r="AN186" s="252">
        <f>AN156</f>
        <v>1057</v>
      </c>
      <c r="AO186" s="251" t="s">
        <v>322</v>
      </c>
      <c r="AP186" s="252">
        <f>AP156</f>
        <v>1090</v>
      </c>
      <c r="AQ186" s="252">
        <f>AQ156</f>
        <v>1090</v>
      </c>
      <c r="AR186" s="252">
        <f>AR156</f>
        <v>1090</v>
      </c>
      <c r="AS186" s="252">
        <f t="shared" ref="AS186:BI186" si="121">$AN$186</f>
        <v>1057</v>
      </c>
      <c r="AT186" s="252">
        <f t="shared" si="121"/>
        <v>1057</v>
      </c>
      <c r="AU186" s="252">
        <f t="shared" si="121"/>
        <v>1057</v>
      </c>
      <c r="AV186" s="252">
        <f t="shared" si="121"/>
        <v>1057</v>
      </c>
      <c r="AW186" s="252">
        <f t="shared" si="121"/>
        <v>1057</v>
      </c>
      <c r="AX186" s="252">
        <f t="shared" si="121"/>
        <v>1057</v>
      </c>
      <c r="AY186" s="252">
        <f t="shared" si="121"/>
        <v>1057</v>
      </c>
      <c r="AZ186" s="252">
        <f t="shared" si="121"/>
        <v>1057</v>
      </c>
      <c r="BA186" s="252">
        <f t="shared" si="121"/>
        <v>1057</v>
      </c>
      <c r="BB186" s="252">
        <f t="shared" si="121"/>
        <v>1057</v>
      </c>
      <c r="BC186" s="252">
        <f t="shared" si="121"/>
        <v>1057</v>
      </c>
      <c r="BD186" s="252">
        <f t="shared" si="121"/>
        <v>1057</v>
      </c>
      <c r="BE186" s="252">
        <f t="shared" si="121"/>
        <v>1057</v>
      </c>
      <c r="BF186" s="252">
        <f t="shared" si="121"/>
        <v>1057</v>
      </c>
      <c r="BG186" s="252">
        <f t="shared" si="121"/>
        <v>1057</v>
      </c>
      <c r="BH186" s="252">
        <f t="shared" si="121"/>
        <v>1057</v>
      </c>
      <c r="BI186" s="252">
        <f t="shared" si="121"/>
        <v>1057</v>
      </c>
      <c r="BJ186" s="252">
        <f>AP156</f>
        <v>1090</v>
      </c>
      <c r="BK186" s="252">
        <f>AQ156</f>
        <v>1090</v>
      </c>
      <c r="BL186" s="252">
        <f>AR156</f>
        <v>1090</v>
      </c>
      <c r="BM186" s="252">
        <f>$AN$186</f>
        <v>1057</v>
      </c>
      <c r="BN186" s="252">
        <f>$AN$186</f>
        <v>1057</v>
      </c>
      <c r="BO186" s="252">
        <f>$AN$186</f>
        <v>1057</v>
      </c>
      <c r="BP186" s="4"/>
    </row>
    <row r="187" spans="38:68" ht="19.149999999999999" x14ac:dyDescent="0.4">
      <c r="AL187" s="13"/>
      <c r="AM187" s="257"/>
      <c r="AN187" s="255"/>
      <c r="AO187" s="258"/>
      <c r="AP187" s="255"/>
      <c r="AQ187" s="255"/>
      <c r="AR187" s="255"/>
      <c r="AS187" s="255"/>
      <c r="AT187" s="255"/>
      <c r="AU187" s="255"/>
      <c r="AV187" s="255"/>
      <c r="AW187" s="255"/>
      <c r="AX187" s="255"/>
      <c r="AY187" s="255"/>
      <c r="AZ187" s="255"/>
      <c r="BA187" s="255"/>
      <c r="BB187" s="255"/>
      <c r="BC187" s="255"/>
      <c r="BD187" s="255"/>
      <c r="BE187" s="255"/>
      <c r="BF187" s="255"/>
      <c r="BG187" s="255"/>
      <c r="BH187" s="255"/>
      <c r="BI187" s="255"/>
      <c r="BJ187" s="255"/>
      <c r="BK187" s="255"/>
      <c r="BL187" s="255"/>
      <c r="BM187" s="255"/>
      <c r="BN187" s="255"/>
      <c r="BO187" s="255"/>
      <c r="BP187" s="4"/>
    </row>
    <row r="188" spans="38:68" ht="19.149999999999999" x14ac:dyDescent="0.4">
      <c r="AL188" s="13"/>
      <c r="AM188" s="249"/>
      <c r="AN188" s="250">
        <f>100*AN194/AN195*(AN199*(AN191-AN192)*AN190/(100-AN197)+AN198*(AN193-AN192)*AN189/(100-AN196))</f>
        <v>1.2502705417213864</v>
      </c>
      <c r="AO188" s="251" t="s">
        <v>323</v>
      </c>
      <c r="AP188" s="250">
        <f>100*AP194/AP195*(AP199*(AP191-AP192)*AP190/(100-AP197)+AP198*(AP193-AP192)*AP189/(100-AP196))</f>
        <v>1.9893822329324562</v>
      </c>
      <c r="AQ188" s="250">
        <f t="shared" ref="AQ188:BO188" si="122">100*AQ194/AQ195*(AQ199*(AQ191-AQ192)*AQ190/(100-AQ197)+AQ198*(AQ193-AQ192)*AQ189/(100-AQ196))</f>
        <v>1.9904170097774772</v>
      </c>
      <c r="AR188" s="250">
        <f t="shared" si="122"/>
        <v>1.9887146349679252</v>
      </c>
      <c r="AS188" s="250">
        <f t="shared" si="122"/>
        <v>1.7614495650748465</v>
      </c>
      <c r="AT188" s="250">
        <f t="shared" si="122"/>
        <v>1.5512890863497291</v>
      </c>
      <c r="AU188" s="250">
        <f t="shared" si="122"/>
        <v>1.4560657261767214</v>
      </c>
      <c r="AV188" s="250">
        <f t="shared" si="122"/>
        <v>1.4560657261767214</v>
      </c>
      <c r="AW188" s="250">
        <f t="shared" si="122"/>
        <v>1.4560657261767214</v>
      </c>
      <c r="AX188" s="250">
        <f t="shared" si="122"/>
        <v>1.4618625535886143</v>
      </c>
      <c r="AY188" s="250">
        <f t="shared" si="122"/>
        <v>1.4618625535886143</v>
      </c>
      <c r="AZ188" s="250">
        <f t="shared" si="122"/>
        <v>1.4618625535886143</v>
      </c>
      <c r="BA188" s="250">
        <f t="shared" si="122"/>
        <v>1.4577522948564414</v>
      </c>
      <c r="BB188" s="250">
        <f t="shared" si="122"/>
        <v>1.4577522948564414</v>
      </c>
      <c r="BC188" s="250">
        <f t="shared" si="122"/>
        <v>1.4577522948564414</v>
      </c>
      <c r="BD188" s="250">
        <f t="shared" si="122"/>
        <v>1.4651907613160744</v>
      </c>
      <c r="BE188" s="250">
        <f t="shared" si="122"/>
        <v>1.4659884081911487</v>
      </c>
      <c r="BF188" s="250">
        <f t="shared" si="122"/>
        <v>1.4646761504289305</v>
      </c>
      <c r="BG188" s="250">
        <f t="shared" si="122"/>
        <v>1.4554131544603304</v>
      </c>
      <c r="BH188" s="250">
        <f t="shared" si="122"/>
        <v>1.4554131544603304</v>
      </c>
      <c r="BI188" s="250">
        <f t="shared" si="122"/>
        <v>1.4554131544603304</v>
      </c>
      <c r="BJ188" s="250">
        <f t="shared" si="122"/>
        <v>1.4554131544603304</v>
      </c>
      <c r="BK188" s="250">
        <f t="shared" si="122"/>
        <v>1.4554131544603304</v>
      </c>
      <c r="BL188" s="250">
        <f t="shared" si="122"/>
        <v>1.4554131544603304</v>
      </c>
      <c r="BM188" s="250">
        <f t="shared" si="122"/>
        <v>1.5225464838287193</v>
      </c>
      <c r="BN188" s="250">
        <f t="shared" si="122"/>
        <v>1.5225464838287193</v>
      </c>
      <c r="BO188" s="250">
        <f t="shared" si="122"/>
        <v>1.5225464838287193</v>
      </c>
      <c r="BP188" s="4"/>
    </row>
    <row r="189" spans="38:68" ht="19.149999999999999" x14ac:dyDescent="0.4">
      <c r="AL189" s="13"/>
      <c r="AM189" s="249"/>
      <c r="AN189" s="253">
        <v>0.72</v>
      </c>
      <c r="AO189" s="251" t="s">
        <v>324</v>
      </c>
      <c r="AP189" s="253">
        <v>0.72</v>
      </c>
      <c r="AQ189" s="253">
        <v>0.72</v>
      </c>
      <c r="AR189" s="253">
        <v>0.72</v>
      </c>
      <c r="AS189" s="253">
        <v>0.72</v>
      </c>
      <c r="AT189" s="253">
        <v>0.72</v>
      </c>
      <c r="AU189" s="253">
        <v>0.72</v>
      </c>
      <c r="AV189" s="253">
        <v>0.72</v>
      </c>
      <c r="AW189" s="253">
        <v>0.72</v>
      </c>
      <c r="AX189" s="253">
        <v>0.72</v>
      </c>
      <c r="AY189" s="253">
        <v>0.72</v>
      </c>
      <c r="AZ189" s="253">
        <v>0.72</v>
      </c>
      <c r="BA189" s="253">
        <v>0.72</v>
      </c>
      <c r="BB189" s="253">
        <v>0.72</v>
      </c>
      <c r="BC189" s="253">
        <v>0.72</v>
      </c>
      <c r="BD189" s="253">
        <v>0.72</v>
      </c>
      <c r="BE189" s="253">
        <v>0.72</v>
      </c>
      <c r="BF189" s="253">
        <v>0.72</v>
      </c>
      <c r="BG189" s="253">
        <v>0.72</v>
      </c>
      <c r="BH189" s="253">
        <v>0.72</v>
      </c>
      <c r="BI189" s="253">
        <v>0.72</v>
      </c>
      <c r="BJ189" s="253">
        <v>0.72</v>
      </c>
      <c r="BK189" s="253">
        <v>0.72</v>
      </c>
      <c r="BL189" s="253">
        <v>0.72</v>
      </c>
      <c r="BM189" s="253">
        <v>0.72</v>
      </c>
      <c r="BN189" s="253">
        <v>0.72</v>
      </c>
      <c r="BO189" s="253">
        <v>0.72</v>
      </c>
      <c r="BP189" s="4"/>
    </row>
    <row r="190" spans="38:68" ht="19.149999999999999" x14ac:dyDescent="0.4">
      <c r="AL190" s="13"/>
      <c r="AM190" s="249"/>
      <c r="AN190" s="253">
        <v>0.84</v>
      </c>
      <c r="AO190" s="251" t="s">
        <v>325</v>
      </c>
      <c r="AP190" s="253">
        <v>0.84</v>
      </c>
      <c r="AQ190" s="253">
        <v>0.84</v>
      </c>
      <c r="AR190" s="253">
        <v>0.84</v>
      </c>
      <c r="AS190" s="253">
        <v>0.84</v>
      </c>
      <c r="AT190" s="253">
        <v>0.84</v>
      </c>
      <c r="AU190" s="253">
        <v>0.84</v>
      </c>
      <c r="AV190" s="253">
        <v>0.84</v>
      </c>
      <c r="AW190" s="253">
        <v>0.84</v>
      </c>
      <c r="AX190" s="253">
        <v>0.84</v>
      </c>
      <c r="AY190" s="253">
        <v>0.84</v>
      </c>
      <c r="AZ190" s="253">
        <v>0.84</v>
      </c>
      <c r="BA190" s="253">
        <v>0.84</v>
      </c>
      <c r="BB190" s="253">
        <v>0.84</v>
      </c>
      <c r="BC190" s="253">
        <v>0.84</v>
      </c>
      <c r="BD190" s="253">
        <v>0.84</v>
      </c>
      <c r="BE190" s="253">
        <v>0.84</v>
      </c>
      <c r="BF190" s="253">
        <v>0.84</v>
      </c>
      <c r="BG190" s="253">
        <v>0.84</v>
      </c>
      <c r="BH190" s="253">
        <v>0.84</v>
      </c>
      <c r="BI190" s="253">
        <v>0.84</v>
      </c>
      <c r="BJ190" s="253">
        <v>0.84</v>
      </c>
      <c r="BK190" s="253">
        <v>0.84</v>
      </c>
      <c r="BL190" s="253">
        <v>0.84</v>
      </c>
      <c r="BM190" s="253">
        <v>0.84</v>
      </c>
      <c r="BN190" s="253">
        <v>0.84</v>
      </c>
      <c r="BO190" s="253">
        <v>0.84</v>
      </c>
      <c r="BP190" s="4"/>
    </row>
    <row r="191" spans="38:68" ht="19.149999999999999" x14ac:dyDescent="0.4">
      <c r="AL191" s="13"/>
      <c r="AM191" s="249"/>
      <c r="AN191" s="252">
        <f>AN157</f>
        <v>869</v>
      </c>
      <c r="AO191" s="251" t="s">
        <v>326</v>
      </c>
      <c r="AP191" s="252">
        <f>AP157</f>
        <v>910</v>
      </c>
      <c r="AQ191" s="252">
        <f>AQ157</f>
        <v>910</v>
      </c>
      <c r="AR191" s="252">
        <f>AR157</f>
        <v>910</v>
      </c>
      <c r="AS191" s="252">
        <f t="shared" ref="AS191:BL191" si="123">$AN$191</f>
        <v>869</v>
      </c>
      <c r="AT191" s="252">
        <f t="shared" si="123"/>
        <v>869</v>
      </c>
      <c r="AU191" s="252">
        <f t="shared" si="123"/>
        <v>869</v>
      </c>
      <c r="AV191" s="252">
        <f t="shared" si="123"/>
        <v>869</v>
      </c>
      <c r="AW191" s="252">
        <f t="shared" si="123"/>
        <v>869</v>
      </c>
      <c r="AX191" s="252">
        <f t="shared" si="123"/>
        <v>869</v>
      </c>
      <c r="AY191" s="252">
        <f t="shared" si="123"/>
        <v>869</v>
      </c>
      <c r="AZ191" s="252">
        <f t="shared" si="123"/>
        <v>869</v>
      </c>
      <c r="BA191" s="252">
        <f t="shared" si="123"/>
        <v>869</v>
      </c>
      <c r="BB191" s="252">
        <f t="shared" si="123"/>
        <v>869</v>
      </c>
      <c r="BC191" s="252">
        <f t="shared" si="123"/>
        <v>869</v>
      </c>
      <c r="BD191" s="252">
        <f t="shared" si="123"/>
        <v>869</v>
      </c>
      <c r="BE191" s="252">
        <f t="shared" si="123"/>
        <v>869</v>
      </c>
      <c r="BF191" s="252">
        <f t="shared" si="123"/>
        <v>869</v>
      </c>
      <c r="BG191" s="252">
        <f t="shared" si="123"/>
        <v>869</v>
      </c>
      <c r="BH191" s="252">
        <f t="shared" si="123"/>
        <v>869</v>
      </c>
      <c r="BI191" s="252">
        <f t="shared" si="123"/>
        <v>869</v>
      </c>
      <c r="BJ191" s="252">
        <f t="shared" si="123"/>
        <v>869</v>
      </c>
      <c r="BK191" s="252">
        <f t="shared" si="123"/>
        <v>869</v>
      </c>
      <c r="BL191" s="252">
        <f t="shared" si="123"/>
        <v>869</v>
      </c>
      <c r="BM191" s="252">
        <f>AP157</f>
        <v>910</v>
      </c>
      <c r="BN191" s="252">
        <f>AQ157</f>
        <v>910</v>
      </c>
      <c r="BO191" s="252">
        <f>AR157</f>
        <v>910</v>
      </c>
      <c r="BP191" s="4"/>
    </row>
    <row r="192" spans="38:68" ht="19.149999999999999" x14ac:dyDescent="0.4">
      <c r="AL192" s="13"/>
      <c r="AM192" s="249"/>
      <c r="AN192" s="250">
        <f>AN170</f>
        <v>35</v>
      </c>
      <c r="AO192" s="251" t="s">
        <v>327</v>
      </c>
      <c r="AP192" s="250">
        <f>AP170</f>
        <v>31.200000000000003</v>
      </c>
      <c r="AQ192" s="250">
        <f t="shared" ref="AQ192:BO192" si="124">AQ170</f>
        <v>30.89</v>
      </c>
      <c r="AR192" s="250">
        <f t="shared" si="124"/>
        <v>31.4</v>
      </c>
      <c r="AS192" s="250">
        <f t="shared" si="124"/>
        <v>35</v>
      </c>
      <c r="AT192" s="250">
        <f t="shared" si="124"/>
        <v>35</v>
      </c>
      <c r="AU192" s="250">
        <f t="shared" si="124"/>
        <v>35</v>
      </c>
      <c r="AV192" s="250">
        <f t="shared" si="124"/>
        <v>35</v>
      </c>
      <c r="AW192" s="250">
        <f t="shared" si="124"/>
        <v>35</v>
      </c>
      <c r="AX192" s="250">
        <f t="shared" si="124"/>
        <v>35</v>
      </c>
      <c r="AY192" s="250">
        <f t="shared" si="124"/>
        <v>35</v>
      </c>
      <c r="AZ192" s="250">
        <f t="shared" si="124"/>
        <v>35</v>
      </c>
      <c r="BA192" s="250">
        <f t="shared" si="124"/>
        <v>35</v>
      </c>
      <c r="BB192" s="250">
        <f t="shared" si="124"/>
        <v>35</v>
      </c>
      <c r="BC192" s="250">
        <f t="shared" si="124"/>
        <v>35</v>
      </c>
      <c r="BD192" s="250">
        <f t="shared" si="124"/>
        <v>31.200000000000003</v>
      </c>
      <c r="BE192" s="250">
        <f t="shared" si="124"/>
        <v>30.89</v>
      </c>
      <c r="BF192" s="250">
        <f t="shared" si="124"/>
        <v>31.4</v>
      </c>
      <c r="BG192" s="250">
        <f t="shared" si="124"/>
        <v>35</v>
      </c>
      <c r="BH192" s="250">
        <f t="shared" si="124"/>
        <v>35</v>
      </c>
      <c r="BI192" s="250">
        <f t="shared" si="124"/>
        <v>35</v>
      </c>
      <c r="BJ192" s="250">
        <f t="shared" si="124"/>
        <v>35</v>
      </c>
      <c r="BK192" s="250">
        <f t="shared" si="124"/>
        <v>35</v>
      </c>
      <c r="BL192" s="250">
        <f t="shared" si="124"/>
        <v>35</v>
      </c>
      <c r="BM192" s="250">
        <f t="shared" si="124"/>
        <v>35</v>
      </c>
      <c r="BN192" s="250">
        <f t="shared" si="124"/>
        <v>35</v>
      </c>
      <c r="BO192" s="250">
        <f t="shared" si="124"/>
        <v>35</v>
      </c>
      <c r="BP192" s="4"/>
    </row>
    <row r="193" spans="38:68" ht="19.149999999999999" x14ac:dyDescent="0.4">
      <c r="AL193" s="13"/>
      <c r="AM193" s="249"/>
      <c r="AN193" s="250">
        <f>AN169</f>
        <v>131</v>
      </c>
      <c r="AO193" s="251" t="s">
        <v>307</v>
      </c>
      <c r="AP193" s="250">
        <f>AP169</f>
        <v>133.5</v>
      </c>
      <c r="AQ193" s="250">
        <f t="shared" ref="AQ193:BO193" si="125">AQ169</f>
        <v>133.5</v>
      </c>
      <c r="AR193" s="250">
        <f t="shared" si="125"/>
        <v>133.5</v>
      </c>
      <c r="AS193" s="250">
        <f t="shared" si="125"/>
        <v>131</v>
      </c>
      <c r="AT193" s="250">
        <f t="shared" si="125"/>
        <v>131</v>
      </c>
      <c r="AU193" s="250">
        <f t="shared" si="125"/>
        <v>131</v>
      </c>
      <c r="AV193" s="250">
        <f t="shared" si="125"/>
        <v>131</v>
      </c>
      <c r="AW193" s="250">
        <f t="shared" si="125"/>
        <v>131</v>
      </c>
      <c r="AX193" s="250">
        <f t="shared" si="125"/>
        <v>131</v>
      </c>
      <c r="AY193" s="250">
        <f t="shared" si="125"/>
        <v>131</v>
      </c>
      <c r="AZ193" s="250">
        <f t="shared" si="125"/>
        <v>131</v>
      </c>
      <c r="BA193" s="250">
        <f t="shared" si="125"/>
        <v>133.5</v>
      </c>
      <c r="BB193" s="250">
        <f t="shared" si="125"/>
        <v>133.5</v>
      </c>
      <c r="BC193" s="250">
        <f t="shared" si="125"/>
        <v>133.5</v>
      </c>
      <c r="BD193" s="250">
        <f t="shared" si="125"/>
        <v>131</v>
      </c>
      <c r="BE193" s="250">
        <f t="shared" si="125"/>
        <v>131</v>
      </c>
      <c r="BF193" s="250">
        <f t="shared" si="125"/>
        <v>131</v>
      </c>
      <c r="BG193" s="250">
        <f t="shared" si="125"/>
        <v>131</v>
      </c>
      <c r="BH193" s="250">
        <f t="shared" si="125"/>
        <v>131</v>
      </c>
      <c r="BI193" s="250">
        <f t="shared" si="125"/>
        <v>131</v>
      </c>
      <c r="BJ193" s="250">
        <f t="shared" si="125"/>
        <v>131</v>
      </c>
      <c r="BK193" s="250">
        <f t="shared" si="125"/>
        <v>131</v>
      </c>
      <c r="BL193" s="250">
        <f t="shared" si="125"/>
        <v>131</v>
      </c>
      <c r="BM193" s="250">
        <f t="shared" si="125"/>
        <v>131</v>
      </c>
      <c r="BN193" s="250">
        <f t="shared" si="125"/>
        <v>131</v>
      </c>
      <c r="BO193" s="250">
        <f t="shared" si="125"/>
        <v>131</v>
      </c>
      <c r="BP193" s="4"/>
    </row>
    <row r="194" spans="38:68" ht="19.149999999999999" x14ac:dyDescent="0.4">
      <c r="AL194" s="13"/>
      <c r="AM194" s="249"/>
      <c r="AN194" s="250">
        <f>AN176</f>
        <v>43.74</v>
      </c>
      <c r="AO194" s="251" t="s">
        <v>328</v>
      </c>
      <c r="AP194" s="250">
        <f>AP176</f>
        <v>46.621390241657735</v>
      </c>
      <c r="AQ194" s="250">
        <f t="shared" ref="AQ194:AW195" si="126">AQ176</f>
        <v>46.621390241657728</v>
      </c>
      <c r="AR194" s="250">
        <f t="shared" si="126"/>
        <v>46.621390241657728</v>
      </c>
      <c r="AS194" s="250">
        <f t="shared" si="126"/>
        <v>43.74</v>
      </c>
      <c r="AT194" s="250">
        <f t="shared" si="126"/>
        <v>46.621390241657735</v>
      </c>
      <c r="AU194" s="250">
        <f t="shared" si="126"/>
        <v>43.74</v>
      </c>
      <c r="AV194" s="250">
        <f t="shared" si="126"/>
        <v>43.74</v>
      </c>
      <c r="AW194" s="250">
        <f t="shared" si="126"/>
        <v>43.74</v>
      </c>
      <c r="AX194" s="250">
        <f>AX176</f>
        <v>43.74</v>
      </c>
      <c r="AY194" s="250">
        <f t="shared" ref="AY194:BO195" si="127">AY176</f>
        <v>43.74</v>
      </c>
      <c r="AZ194" s="250">
        <f t="shared" si="127"/>
        <v>43.74</v>
      </c>
      <c r="BA194" s="250">
        <f t="shared" si="127"/>
        <v>43.74</v>
      </c>
      <c r="BB194" s="250">
        <f t="shared" si="127"/>
        <v>43.74</v>
      </c>
      <c r="BC194" s="250">
        <f t="shared" si="127"/>
        <v>43.74</v>
      </c>
      <c r="BD194" s="250">
        <f t="shared" si="127"/>
        <v>43.74</v>
      </c>
      <c r="BE194" s="250">
        <f t="shared" si="127"/>
        <v>43.74</v>
      </c>
      <c r="BF194" s="250">
        <f t="shared" si="127"/>
        <v>43.74</v>
      </c>
      <c r="BG194" s="250">
        <f t="shared" si="127"/>
        <v>43.74</v>
      </c>
      <c r="BH194" s="250">
        <f t="shared" si="127"/>
        <v>43.74</v>
      </c>
      <c r="BI194" s="250">
        <f t="shared" si="127"/>
        <v>43.74</v>
      </c>
      <c r="BJ194" s="250">
        <f t="shared" si="127"/>
        <v>43.74</v>
      </c>
      <c r="BK194" s="250">
        <f t="shared" si="127"/>
        <v>43.74</v>
      </c>
      <c r="BL194" s="250">
        <f t="shared" si="127"/>
        <v>43.74</v>
      </c>
      <c r="BM194" s="250">
        <f t="shared" si="127"/>
        <v>43.74</v>
      </c>
      <c r="BN194" s="250">
        <f t="shared" si="127"/>
        <v>43.74</v>
      </c>
      <c r="BO194" s="250">
        <f t="shared" si="127"/>
        <v>43.74</v>
      </c>
      <c r="BP194" s="4"/>
    </row>
    <row r="195" spans="38:68" ht="19.149999999999999" x14ac:dyDescent="0.4">
      <c r="AL195" s="13"/>
      <c r="AM195" s="249"/>
      <c r="AN195" s="250">
        <f>AN177</f>
        <v>13757.8248</v>
      </c>
      <c r="AO195" s="251" t="s">
        <v>329</v>
      </c>
      <c r="AP195" s="250">
        <f>AP177</f>
        <v>11367.5234237148</v>
      </c>
      <c r="AQ195" s="250">
        <f t="shared" si="126"/>
        <v>11367.5234237148</v>
      </c>
      <c r="AR195" s="250">
        <f t="shared" si="126"/>
        <v>11367.5234237148</v>
      </c>
      <c r="AS195" s="250">
        <f t="shared" si="126"/>
        <v>11367.5234237148</v>
      </c>
      <c r="AT195" s="250">
        <f t="shared" si="126"/>
        <v>13757.8248</v>
      </c>
      <c r="AU195" s="250">
        <f t="shared" si="126"/>
        <v>13757.8248</v>
      </c>
      <c r="AV195" s="250">
        <f t="shared" si="126"/>
        <v>13757.8248</v>
      </c>
      <c r="AW195" s="250">
        <f t="shared" si="126"/>
        <v>13757.8248</v>
      </c>
      <c r="AX195" s="250">
        <f>AX177</f>
        <v>13757.8248</v>
      </c>
      <c r="AY195" s="250">
        <f t="shared" si="127"/>
        <v>13757.8248</v>
      </c>
      <c r="AZ195" s="250">
        <f t="shared" si="127"/>
        <v>13757.8248</v>
      </c>
      <c r="BA195" s="250">
        <f t="shared" si="127"/>
        <v>13757.8248</v>
      </c>
      <c r="BB195" s="250">
        <f t="shared" si="127"/>
        <v>13757.8248</v>
      </c>
      <c r="BC195" s="250">
        <f t="shared" si="127"/>
        <v>13757.8248</v>
      </c>
      <c r="BD195" s="250">
        <f t="shared" si="127"/>
        <v>13757.8248</v>
      </c>
      <c r="BE195" s="250">
        <f t="shared" si="127"/>
        <v>13757.8248</v>
      </c>
      <c r="BF195" s="250">
        <f t="shared" si="127"/>
        <v>13757.8248</v>
      </c>
      <c r="BG195" s="250">
        <f t="shared" si="127"/>
        <v>13757.8248</v>
      </c>
      <c r="BH195" s="250">
        <f t="shared" si="127"/>
        <v>13757.8248</v>
      </c>
      <c r="BI195" s="250">
        <f t="shared" si="127"/>
        <v>13757.8248</v>
      </c>
      <c r="BJ195" s="250">
        <f t="shared" si="127"/>
        <v>13757.8248</v>
      </c>
      <c r="BK195" s="250">
        <f t="shared" si="127"/>
        <v>13757.8248</v>
      </c>
      <c r="BL195" s="250">
        <f t="shared" si="127"/>
        <v>13757.8248</v>
      </c>
      <c r="BM195" s="250">
        <f t="shared" si="127"/>
        <v>13757.8248</v>
      </c>
      <c r="BN195" s="250">
        <f t="shared" si="127"/>
        <v>13757.8248</v>
      </c>
      <c r="BO195" s="250">
        <f t="shared" si="127"/>
        <v>13757.8248</v>
      </c>
      <c r="BP195" s="4"/>
    </row>
    <row r="196" spans="38:68" ht="19.149999999999999" x14ac:dyDescent="0.4">
      <c r="AL196" s="13"/>
      <c r="AM196" s="249"/>
      <c r="AN196" s="250">
        <f>AN181</f>
        <v>2.14</v>
      </c>
      <c r="AO196" s="251" t="s">
        <v>318</v>
      </c>
      <c r="AP196" s="250">
        <f>AP181</f>
        <v>2.8458333333333297</v>
      </c>
      <c r="AQ196" s="250">
        <f t="shared" ref="AQ196:AW197" si="128">AQ181</f>
        <v>2.8458333333333301</v>
      </c>
      <c r="AR196" s="250">
        <f t="shared" si="128"/>
        <v>2.8458333333333301</v>
      </c>
      <c r="AS196" s="250">
        <f t="shared" si="128"/>
        <v>2.14</v>
      </c>
      <c r="AT196" s="250">
        <f t="shared" si="128"/>
        <v>2.14</v>
      </c>
      <c r="AU196" s="250">
        <f t="shared" si="128"/>
        <v>2.8458333333333297</v>
      </c>
      <c r="AV196" s="250">
        <f t="shared" si="128"/>
        <v>2.8458333333333301</v>
      </c>
      <c r="AW196" s="250">
        <f t="shared" si="128"/>
        <v>2.8458333333333301</v>
      </c>
      <c r="AX196" s="250">
        <f>AX181</f>
        <v>2.14</v>
      </c>
      <c r="AY196" s="250">
        <f t="shared" ref="AY196:BO197" si="129">AY181</f>
        <v>2.14</v>
      </c>
      <c r="AZ196" s="250">
        <f t="shared" si="129"/>
        <v>2.14</v>
      </c>
      <c r="BA196" s="250">
        <f t="shared" si="129"/>
        <v>2.14</v>
      </c>
      <c r="BB196" s="250">
        <f t="shared" si="129"/>
        <v>2.14</v>
      </c>
      <c r="BC196" s="250">
        <f t="shared" si="129"/>
        <v>2.14</v>
      </c>
      <c r="BD196" s="250">
        <f t="shared" si="129"/>
        <v>2.14</v>
      </c>
      <c r="BE196" s="250">
        <f t="shared" si="129"/>
        <v>2.14</v>
      </c>
      <c r="BF196" s="250">
        <f t="shared" si="129"/>
        <v>2.14</v>
      </c>
      <c r="BG196" s="250">
        <f t="shared" si="129"/>
        <v>2.14</v>
      </c>
      <c r="BH196" s="250">
        <f t="shared" si="129"/>
        <v>2.14</v>
      </c>
      <c r="BI196" s="250">
        <f t="shared" si="129"/>
        <v>2.14</v>
      </c>
      <c r="BJ196" s="250">
        <f t="shared" si="129"/>
        <v>2.14</v>
      </c>
      <c r="BK196" s="250">
        <f t="shared" si="129"/>
        <v>2.14</v>
      </c>
      <c r="BL196" s="250">
        <f t="shared" si="129"/>
        <v>2.14</v>
      </c>
      <c r="BM196" s="250">
        <f t="shared" si="129"/>
        <v>2.14</v>
      </c>
      <c r="BN196" s="250">
        <f t="shared" si="129"/>
        <v>2.14</v>
      </c>
      <c r="BO196" s="250">
        <f t="shared" si="129"/>
        <v>2.14</v>
      </c>
      <c r="BP196" s="4"/>
    </row>
    <row r="197" spans="38:68" ht="19.149999999999999" x14ac:dyDescent="0.4">
      <c r="AL197" s="13"/>
      <c r="AM197" s="249"/>
      <c r="AN197" s="250">
        <f>AN182</f>
        <v>2.14</v>
      </c>
      <c r="AO197" s="251" t="s">
        <v>319</v>
      </c>
      <c r="AP197" s="250">
        <f>AP182</f>
        <v>2.6</v>
      </c>
      <c r="AQ197" s="250">
        <f t="shared" si="128"/>
        <v>2.6</v>
      </c>
      <c r="AR197" s="250">
        <f t="shared" si="128"/>
        <v>2.6</v>
      </c>
      <c r="AS197" s="250">
        <f t="shared" si="128"/>
        <v>2.14</v>
      </c>
      <c r="AT197" s="250">
        <f t="shared" si="128"/>
        <v>2.14</v>
      </c>
      <c r="AU197" s="250">
        <f t="shared" si="128"/>
        <v>2.14</v>
      </c>
      <c r="AV197" s="250">
        <f t="shared" si="128"/>
        <v>2.14</v>
      </c>
      <c r="AW197" s="250">
        <f t="shared" si="128"/>
        <v>2.14</v>
      </c>
      <c r="AX197" s="250">
        <f>AX182</f>
        <v>2.6</v>
      </c>
      <c r="AY197" s="250">
        <f t="shared" si="129"/>
        <v>2.6</v>
      </c>
      <c r="AZ197" s="250">
        <f t="shared" si="129"/>
        <v>2.6</v>
      </c>
      <c r="BA197" s="250">
        <f t="shared" si="129"/>
        <v>2.14</v>
      </c>
      <c r="BB197" s="250">
        <f t="shared" si="129"/>
        <v>2.14</v>
      </c>
      <c r="BC197" s="250">
        <f t="shared" si="129"/>
        <v>2.14</v>
      </c>
      <c r="BD197" s="250">
        <f t="shared" si="129"/>
        <v>2.14</v>
      </c>
      <c r="BE197" s="250">
        <f t="shared" si="129"/>
        <v>2.14</v>
      </c>
      <c r="BF197" s="250">
        <f t="shared" si="129"/>
        <v>2.14</v>
      </c>
      <c r="BG197" s="250">
        <f t="shared" si="129"/>
        <v>2.14</v>
      </c>
      <c r="BH197" s="250">
        <f t="shared" si="129"/>
        <v>2.14</v>
      </c>
      <c r="BI197" s="250">
        <f t="shared" si="129"/>
        <v>2.14</v>
      </c>
      <c r="BJ197" s="250">
        <f t="shared" si="129"/>
        <v>2.14</v>
      </c>
      <c r="BK197" s="250">
        <f t="shared" si="129"/>
        <v>2.14</v>
      </c>
      <c r="BL197" s="250">
        <f t="shared" si="129"/>
        <v>2.14</v>
      </c>
      <c r="BM197" s="250">
        <f t="shared" si="129"/>
        <v>2.14</v>
      </c>
      <c r="BN197" s="250">
        <f t="shared" si="129"/>
        <v>2.14</v>
      </c>
      <c r="BO197" s="250">
        <f t="shared" si="129"/>
        <v>2.14</v>
      </c>
      <c r="BP197" s="4"/>
    </row>
    <row r="198" spans="38:68" ht="19.149999999999999" x14ac:dyDescent="0.4">
      <c r="AL198" s="13"/>
      <c r="AM198" s="249"/>
      <c r="AN198" s="250">
        <f>AN179</f>
        <v>0.5</v>
      </c>
      <c r="AO198" s="251" t="s">
        <v>316</v>
      </c>
      <c r="AP198" s="250">
        <f>AP179</f>
        <v>0.4</v>
      </c>
      <c r="AQ198" s="250">
        <f t="shared" ref="AQ198:AW199" si="130">AQ179</f>
        <v>0.4</v>
      </c>
      <c r="AR198" s="250">
        <f t="shared" si="130"/>
        <v>0.4</v>
      </c>
      <c r="AS198" s="250">
        <f t="shared" si="130"/>
        <v>0.4</v>
      </c>
      <c r="AT198" s="250">
        <f t="shared" si="130"/>
        <v>0.4</v>
      </c>
      <c r="AU198" s="250">
        <f t="shared" si="130"/>
        <v>0.4</v>
      </c>
      <c r="AV198" s="250">
        <f t="shared" si="130"/>
        <v>0.4</v>
      </c>
      <c r="AW198" s="250">
        <f t="shared" si="130"/>
        <v>0.4</v>
      </c>
      <c r="AX198" s="250">
        <f>AX179</f>
        <v>0.4</v>
      </c>
      <c r="AY198" s="250">
        <f t="shared" ref="AY198:BO199" si="131">AY179</f>
        <v>0.4</v>
      </c>
      <c r="AZ198" s="250">
        <f t="shared" si="131"/>
        <v>0.4</v>
      </c>
      <c r="BA198" s="250">
        <f t="shared" si="131"/>
        <v>0.4</v>
      </c>
      <c r="BB198" s="250">
        <f t="shared" si="131"/>
        <v>0.4</v>
      </c>
      <c r="BC198" s="250">
        <f t="shared" si="131"/>
        <v>0.4</v>
      </c>
      <c r="BD198" s="250">
        <f t="shared" si="131"/>
        <v>0.4</v>
      </c>
      <c r="BE198" s="250">
        <f t="shared" si="131"/>
        <v>0.4</v>
      </c>
      <c r="BF198" s="250">
        <f t="shared" si="131"/>
        <v>0.4</v>
      </c>
      <c r="BG198" s="250">
        <f t="shared" si="131"/>
        <v>0.4</v>
      </c>
      <c r="BH198" s="250">
        <f t="shared" si="131"/>
        <v>0.4</v>
      </c>
      <c r="BI198" s="250">
        <f t="shared" si="131"/>
        <v>0.4</v>
      </c>
      <c r="BJ198" s="250">
        <f t="shared" si="131"/>
        <v>0.4</v>
      </c>
      <c r="BK198" s="250">
        <f t="shared" si="131"/>
        <v>0.4</v>
      </c>
      <c r="BL198" s="250">
        <f t="shared" si="131"/>
        <v>0.4</v>
      </c>
      <c r="BM198" s="250">
        <f t="shared" si="131"/>
        <v>0.4</v>
      </c>
      <c r="BN198" s="250">
        <f t="shared" si="131"/>
        <v>0.4</v>
      </c>
      <c r="BO198" s="250">
        <f t="shared" si="131"/>
        <v>0.4</v>
      </c>
      <c r="BP198" s="4"/>
    </row>
    <row r="199" spans="38:68" ht="19.149999999999999" x14ac:dyDescent="0.4">
      <c r="AL199" s="13"/>
      <c r="AM199" s="249"/>
      <c r="AN199" s="250">
        <f>AN180</f>
        <v>0.5</v>
      </c>
      <c r="AO199" s="251" t="s">
        <v>330</v>
      </c>
      <c r="AP199" s="250">
        <f>AP180</f>
        <v>0.6</v>
      </c>
      <c r="AQ199" s="250">
        <f t="shared" si="130"/>
        <v>0.6</v>
      </c>
      <c r="AR199" s="250">
        <f t="shared" si="130"/>
        <v>0.6</v>
      </c>
      <c r="AS199" s="250">
        <f t="shared" si="130"/>
        <v>0.6</v>
      </c>
      <c r="AT199" s="250">
        <f t="shared" si="130"/>
        <v>0.6</v>
      </c>
      <c r="AU199" s="250">
        <f t="shared" si="130"/>
        <v>0.6</v>
      </c>
      <c r="AV199" s="250">
        <f t="shared" si="130"/>
        <v>0.6</v>
      </c>
      <c r="AW199" s="250">
        <f t="shared" si="130"/>
        <v>0.6</v>
      </c>
      <c r="AX199" s="250">
        <f>AX180</f>
        <v>0.6</v>
      </c>
      <c r="AY199" s="250">
        <f t="shared" si="131"/>
        <v>0.6</v>
      </c>
      <c r="AZ199" s="250">
        <f t="shared" si="131"/>
        <v>0.6</v>
      </c>
      <c r="BA199" s="250">
        <f t="shared" si="131"/>
        <v>0.6</v>
      </c>
      <c r="BB199" s="250">
        <f t="shared" si="131"/>
        <v>0.6</v>
      </c>
      <c r="BC199" s="250">
        <f t="shared" si="131"/>
        <v>0.6</v>
      </c>
      <c r="BD199" s="250">
        <f t="shared" si="131"/>
        <v>0.6</v>
      </c>
      <c r="BE199" s="250">
        <f t="shared" si="131"/>
        <v>0.6</v>
      </c>
      <c r="BF199" s="250">
        <f t="shared" si="131"/>
        <v>0.6</v>
      </c>
      <c r="BG199" s="250">
        <f t="shared" si="131"/>
        <v>0.6</v>
      </c>
      <c r="BH199" s="250">
        <f t="shared" si="131"/>
        <v>0.6</v>
      </c>
      <c r="BI199" s="250">
        <f t="shared" si="131"/>
        <v>0.6</v>
      </c>
      <c r="BJ199" s="250">
        <f t="shared" si="131"/>
        <v>0.6</v>
      </c>
      <c r="BK199" s="250">
        <f t="shared" si="131"/>
        <v>0.6</v>
      </c>
      <c r="BL199" s="250">
        <f t="shared" si="131"/>
        <v>0.6</v>
      </c>
      <c r="BM199" s="250">
        <f t="shared" si="131"/>
        <v>0.6</v>
      </c>
      <c r="BN199" s="250">
        <f t="shared" si="131"/>
        <v>0.6</v>
      </c>
      <c r="BO199" s="250">
        <f t="shared" si="131"/>
        <v>0.6</v>
      </c>
      <c r="BP199" s="4"/>
    </row>
    <row r="200" spans="38:68" x14ac:dyDescent="0.4">
      <c r="AL200" s="13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38:68" x14ac:dyDescent="0.4">
      <c r="AL201" s="13"/>
    </row>
    <row r="202" spans="38:68" ht="16.899999999999999" x14ac:dyDescent="0.4">
      <c r="AL202" s="13"/>
      <c r="AM202" s="259" t="s">
        <v>202</v>
      </c>
      <c r="AN202" s="219"/>
      <c r="AO202" s="219"/>
      <c r="AP202" s="219"/>
      <c r="AQ202" s="219"/>
      <c r="AR202" s="219"/>
      <c r="AS202" s="219"/>
      <c r="AT202" s="219"/>
      <c r="AU202" s="219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38:68" ht="16.899999999999999" x14ac:dyDescent="0.4">
      <c r="AL203" s="13"/>
      <c r="AM203" s="220" t="s">
        <v>219</v>
      </c>
      <c r="AN203" s="220" t="s">
        <v>220</v>
      </c>
      <c r="AO203" s="220" t="s">
        <v>221</v>
      </c>
      <c r="AP203" s="220" t="s">
        <v>222</v>
      </c>
      <c r="AQ203" s="220" t="s">
        <v>223</v>
      </c>
      <c r="AR203" s="220" t="s">
        <v>224</v>
      </c>
      <c r="AS203" s="220" t="s">
        <v>225</v>
      </c>
      <c r="AT203" s="220" t="s">
        <v>226</v>
      </c>
      <c r="AU203" s="220" t="s">
        <v>227</v>
      </c>
      <c r="BP203" s="4"/>
    </row>
    <row r="204" spans="38:68" ht="16.149999999999999" x14ac:dyDescent="0.4">
      <c r="AL204" s="13"/>
      <c r="AM204" s="221" t="s">
        <v>228</v>
      </c>
      <c r="AN204" s="222">
        <f>AN206/(AN205*100*AN207*100*4.1816*7000)*10000000</f>
        <v>285.64013950067749</v>
      </c>
      <c r="AO204" s="221" t="s">
        <v>229</v>
      </c>
      <c r="AP204" s="223">
        <f>AP206/((AP205*100)*(AP207*100)*7000*4.1868)*10000000</f>
        <v>299.15583291477799</v>
      </c>
      <c r="AQ204" s="223">
        <f t="shared" ref="AQ204:AR204" si="132">AQ206/((AQ205*100)*(AQ207*100)*7000*4.1868)*10000000</f>
        <v>298.55804412994843</v>
      </c>
      <c r="AR204" s="223">
        <f t="shared" si="132"/>
        <v>299.36726376315363</v>
      </c>
      <c r="AS204" s="223" t="s">
        <v>178</v>
      </c>
      <c r="AT204" s="223" t="s">
        <v>178</v>
      </c>
      <c r="AU204" s="223" t="s">
        <v>178</v>
      </c>
      <c r="AV204" s="224">
        <f>$AN204+AS210+AS206+SUM(AS213:AS223)</f>
        <v>290.55896402466556</v>
      </c>
      <c r="AW204" s="224">
        <f t="shared" ref="AW204" si="133">$AN204+AT210+AT206+SUM(AT213:AT223)</f>
        <v>289.80939027315907</v>
      </c>
      <c r="AX204" s="224">
        <f t="shared" ref="AX204" si="134">$AN204+AU210+AU206+SUM(AU213:AU223)</f>
        <v>290.8248293428951</v>
      </c>
      <c r="BP204" s="4"/>
    </row>
    <row r="205" spans="38:68" ht="16.149999999999999" x14ac:dyDescent="0.4">
      <c r="AL205" s="13"/>
      <c r="AM205" s="225" t="s">
        <v>230</v>
      </c>
      <c r="AN205" s="226">
        <v>0.93</v>
      </c>
      <c r="AO205" s="225" t="s">
        <v>231</v>
      </c>
      <c r="AP205" s="227">
        <f>IFERROR(SUMPRODUCT(AQ212:AR212,AQ205:AR205)/AP212,)</f>
        <v>0.92821233242288204</v>
      </c>
      <c r="AQ205" s="322">
        <f>AQ232/100-(0.03006*AQ214-0.1786)/100+(0.000029*POWER(AQ221,2)-0.009245*POWER(AQ221,1)+0.2025)/100</f>
        <v>0.92911558212510115</v>
      </c>
      <c r="AR205" s="322">
        <f>AR232/100-(0.03006*AR214-0.1786)/100+(0.000029*POWER(AR221,2)-0.009245*POWER(AR221,1)+0.2025)/100</f>
        <v>0.92789182446403007</v>
      </c>
      <c r="AS205" s="227" t="s">
        <v>178</v>
      </c>
      <c r="AT205" s="227" t="s">
        <v>178</v>
      </c>
      <c r="AU205" s="227" t="s">
        <v>178</v>
      </c>
      <c r="BP205" s="4"/>
    </row>
    <row r="206" spans="38:68" ht="16.149999999999999" x14ac:dyDescent="0.4">
      <c r="AL206" s="13"/>
      <c r="AM206" s="221" t="s">
        <v>232</v>
      </c>
      <c r="AN206" s="228">
        <v>7698</v>
      </c>
      <c r="AO206" s="221" t="s">
        <v>233</v>
      </c>
      <c r="AP206" s="223">
        <f>AP210*(1+(AP208-$AN$208)/100+($AN$226-AP226)*0.25%+($AN$227-AP227)*0.04%+($AN$228-AP228)*0.02%)+((0.0099*AP209*AP209-8.1609*AP209+9380)-(0.0099*$AN$209*$AN$209-8.1609*$AN$209+9380))</f>
        <v>8040.4806191053567</v>
      </c>
      <c r="AQ206" s="223">
        <f>AQ210*(1+(AQ208-$AN$208)/100+($AN$226-AQ226)*0.25%+($AN$227-AQ227)*0.04%+($AN$228-AQ228)*0.02%)+((0.0099*AQ209*AQ209-8.1609*AQ209+9380)-(0.0099*$AN$209*$AN$209-8.1609*$AN$209+9380))</f>
        <v>8032.2223227475497</v>
      </c>
      <c r="AR206" s="223">
        <f>AR210*(1+(AR208-$AN$208)/100+($AN$226-AR226)*0.25%+($AN$227-AR227)*0.04%+($AN$228-AR228)*0.02%)+((0.0099*AR209*AR209-8.1609*AR209+9380)-(0.0099*$AN$209*$AN$209-8.1609*$AN$209+9380))</f>
        <v>8043.3849873975487</v>
      </c>
      <c r="AS206" s="223">
        <f>(AP206-AP210)/((AP205*100)*(AP207*100)*7000*4.1868)*10000000</f>
        <v>7.6926777185813373</v>
      </c>
      <c r="AT206" s="223">
        <f t="shared" ref="AT206:AU206" si="135">(AQ206-AQ210)/((AQ205*100)*(AQ207*100)*7000*4.1868)*10000000</f>
        <v>8.2966256457148333</v>
      </c>
      <c r="AU206" s="223">
        <f t="shared" si="135"/>
        <v>7.4771234716686479</v>
      </c>
      <c r="AW206" s="229"/>
      <c r="BP206" s="4"/>
    </row>
    <row r="207" spans="38:68" ht="16.149999999999999" x14ac:dyDescent="0.4">
      <c r="AL207" s="13"/>
      <c r="AM207" s="225" t="s">
        <v>234</v>
      </c>
      <c r="AN207" s="226">
        <v>0.99</v>
      </c>
      <c r="AO207" s="225" t="s">
        <v>235</v>
      </c>
      <c r="AP207" s="227">
        <f>SUMPRODUCT($AQ$212:$AR$212,AQ207:AR207)/$AP$212</f>
        <v>0.98799999999999999</v>
      </c>
      <c r="AQ207" s="227">
        <v>0.98799999999999999</v>
      </c>
      <c r="AR207" s="227">
        <v>0.98799999999999999</v>
      </c>
      <c r="AS207" s="227" t="s">
        <v>178</v>
      </c>
      <c r="AT207" s="227" t="s">
        <v>178</v>
      </c>
      <c r="AU207" s="227" t="s">
        <v>178</v>
      </c>
      <c r="BP207" s="4"/>
    </row>
    <row r="208" spans="38:68" ht="16.149999999999999" x14ac:dyDescent="0.4">
      <c r="AL208" s="13"/>
      <c r="AM208" s="221" t="s">
        <v>236</v>
      </c>
      <c r="AN208" s="228">
        <f>AN225+AN224</f>
        <v>6.7999999999999972</v>
      </c>
      <c r="AO208" s="221" t="s">
        <v>237</v>
      </c>
      <c r="AP208" s="231">
        <f>AP225+AP224</f>
        <v>9.2911547619047639</v>
      </c>
      <c r="AQ208" s="231">
        <v>9.51</v>
      </c>
      <c r="AR208" s="231">
        <v>9.2134999999999998</v>
      </c>
      <c r="AS208" s="231">
        <f>(AP210*(1*0+(AP208-$AN$208)/100+($AN$226-AP226)*0.25%*0+($AN$227-AP227)*0.04%*0+($AN$228-AP228)*0.02%*0))/((AP205*100)*(AP207*100)*7000*4.1868)*10000000</f>
        <v>7.2607982698679319</v>
      </c>
      <c r="AT208" s="231">
        <f t="shared" ref="AT208:AU208" si="136">(AQ210*(1*0+(AQ208-$AN$208)/100+($AN$226-AQ226)*0.25%*0+($AN$227-AQ227)*0.04%*0+($AN$228-AQ228)*0.02%*0))/((AQ205*100)*(AQ207*100)*7000*4.1868)*10000000</f>
        <v>7.8660844409227382</v>
      </c>
      <c r="AU208" s="231">
        <f t="shared" si="136"/>
        <v>7.044768535934999</v>
      </c>
      <c r="BP208" s="4"/>
    </row>
    <row r="209" spans="38:68" ht="16.149999999999999" x14ac:dyDescent="0.4">
      <c r="AL209" s="13"/>
      <c r="AM209" s="225" t="s">
        <v>238</v>
      </c>
      <c r="AN209" s="228">
        <v>385</v>
      </c>
      <c r="AO209" s="225" t="s">
        <v>239</v>
      </c>
      <c r="AP209" s="232">
        <f>AP211/AP212*10</f>
        <v>378.71162183027491</v>
      </c>
      <c r="AQ209" s="222">
        <v>378.71162183027496</v>
      </c>
      <c r="AR209" s="222">
        <v>378.71162183027496</v>
      </c>
      <c r="AS209" s="232">
        <f>((0.0099*AP209*AP209-8.1609*AP209+9380)-(0.0099*$AN$209*$AN$209-8.1609*$AN$209+9380))/((AP205*100)*(AP207*100)*7000*4.1868)*10000000</f>
        <v>0.14041629351725959</v>
      </c>
      <c r="AT209" s="232">
        <f t="shared" ref="AT209:AU209" si="137">((0.0099*AQ209*AQ209-8.1609*AQ209+9380)-(0.0099*$AN$209*$AN$209-8.1609*$AN$209+9380))/((AQ205*100)*(AQ207*100)*7000*4.1868)*10000000</f>
        <v>0.14027978630788088</v>
      </c>
      <c r="AU209" s="232">
        <f t="shared" si="137"/>
        <v>0.14046479544220197</v>
      </c>
      <c r="BP209" s="4"/>
    </row>
    <row r="210" spans="38:68" ht="16.149999999999999" x14ac:dyDescent="0.4">
      <c r="AL210" s="13"/>
      <c r="AM210" s="221" t="s">
        <v>240</v>
      </c>
      <c r="AN210" s="233">
        <f>AP210</f>
        <v>7833.7227380952372</v>
      </c>
      <c r="AO210" s="221" t="s">
        <v>240</v>
      </c>
      <c r="AP210" s="231">
        <f>SUMPRODUCT($AQ$212:$AR$212,AQ210:AR210)/$AP$212</f>
        <v>7833.7227380952372</v>
      </c>
      <c r="AQ210" s="233">
        <v>7809.0150000000003</v>
      </c>
      <c r="AR210" s="233">
        <v>7842.49</v>
      </c>
      <c r="AS210" s="231">
        <f>(AP210-$AN$206)/((AP205*100)*(AP207*100)*7000*4.1868)*10000000</f>
        <v>5.0497290751348967</v>
      </c>
      <c r="AT210" s="231">
        <f t="shared" ref="AT210:AU210" si="138">(AQ210-$AN$206)/((AQ205*100)*(AQ207*100)*7000*4.1868)*10000000</f>
        <v>4.1264322546476455</v>
      </c>
      <c r="AU210" s="231">
        <f t="shared" si="138"/>
        <v>5.3777826137765681</v>
      </c>
      <c r="BP210" s="4"/>
    </row>
    <row r="211" spans="38:68" ht="16.149999999999999" x14ac:dyDescent="0.4">
      <c r="AL211" s="13"/>
      <c r="AM211" s="225" t="s">
        <v>241</v>
      </c>
      <c r="AN211" s="228">
        <f>AN209*AN212/10</f>
        <v>250250</v>
      </c>
      <c r="AO211" s="225" t="s">
        <v>242</v>
      </c>
      <c r="AP211" s="232">
        <f>SUM(AQ211:AR211)</f>
        <v>38174.131480491713</v>
      </c>
      <c r="AQ211" s="234">
        <f>AQ209*AQ212/10</f>
        <v>9997.9868163192587</v>
      </c>
      <c r="AR211" s="234">
        <f>AR209*AR212/10</f>
        <v>28176.144664172454</v>
      </c>
      <c r="AS211" s="235" t="s">
        <v>178</v>
      </c>
      <c r="AT211" s="235" t="s">
        <v>178</v>
      </c>
      <c r="AU211" s="235" t="s">
        <v>178</v>
      </c>
      <c r="BP211" s="4"/>
    </row>
    <row r="212" spans="38:68" ht="16.149999999999999" x14ac:dyDescent="0.4">
      <c r="AL212" s="13"/>
      <c r="AM212" s="221" t="s">
        <v>243</v>
      </c>
      <c r="AN212" s="228">
        <v>6500</v>
      </c>
      <c r="AO212" s="221" t="s">
        <v>244</v>
      </c>
      <c r="AP212" s="231">
        <f>SUM(AQ212:AR212)</f>
        <v>1008</v>
      </c>
      <c r="AQ212" s="230">
        <v>264</v>
      </c>
      <c r="AR212" s="230">
        <v>744</v>
      </c>
      <c r="AS212" s="231" t="s">
        <v>178</v>
      </c>
      <c r="AT212" s="231" t="s">
        <v>178</v>
      </c>
      <c r="AU212" s="231" t="s">
        <v>178</v>
      </c>
      <c r="BP212" s="4"/>
    </row>
    <row r="213" spans="38:68" ht="16.149999999999999" x14ac:dyDescent="0.4">
      <c r="AL213" s="13"/>
      <c r="AM213" s="225" t="s">
        <v>245</v>
      </c>
      <c r="AN213" s="228">
        <v>3943.47</v>
      </c>
      <c r="AO213" s="225" t="s">
        <v>246</v>
      </c>
      <c r="AP213" s="232">
        <f t="shared" ref="AP213:AP228" si="139">SUMPRODUCT($AQ$212:$AR$212,AQ213:AR213)/$AP$212</f>
        <v>3193.713175972885</v>
      </c>
      <c r="AQ213" s="310">
        <f>$C$42</f>
        <v>3193.713175972885</v>
      </c>
      <c r="AR213" s="310">
        <f>$C$42</f>
        <v>3193.713175972885</v>
      </c>
      <c r="AS213" s="236">
        <f>AP206/((AP205*100)*(AP207*100)*7000*4.1868)*10000000-AP206/((AP205*100-(($AS232-$AN$232)/100-($AN$213-AP213)/1000*1.25%)*100)*(AP207*100)*7000*4.1868)*10000000</f>
        <v>2.8894565078598475</v>
      </c>
      <c r="AT213" s="236">
        <f t="shared" ref="AT213:AU213" si="140">AQ206/((AQ205*100)*(AQ207*100)*7000*4.1868)*10000000-AQ206/((AQ205*100-(($AS232-$AN$232)/100-($AN$213-AQ213)/1000*1.25%)*100)*(AQ207*100)*7000*4.1868)*10000000</f>
        <v>2.8809062932691063</v>
      </c>
      <c r="AU213" s="236">
        <f t="shared" si="140"/>
        <v>2.8924877725880833</v>
      </c>
      <c r="BP213" s="4"/>
    </row>
    <row r="214" spans="38:68" ht="16.149999999999999" x14ac:dyDescent="0.4">
      <c r="AL214" s="13"/>
      <c r="AM214" s="221" t="s">
        <v>247</v>
      </c>
      <c r="AN214" s="237">
        <v>9.8000000000000007</v>
      </c>
      <c r="AO214" s="221" t="s">
        <v>248</v>
      </c>
      <c r="AP214" s="231">
        <f t="shared" si="139"/>
        <v>19.960147949205709</v>
      </c>
      <c r="AQ214" s="310">
        <f>$F$42</f>
        <v>19.960147949205709</v>
      </c>
      <c r="AR214" s="310">
        <f>$F$42</f>
        <v>19.960147949205709</v>
      </c>
      <c r="AS214" s="238">
        <f>AP206/((AP205*100)*(AP207*100)*7000*4.1868)*10000000-AP206/((AP205*100-(-(AP214-$AN$214)/100*0.008)*100)*(AP207*100)*7000*4.1868)*10000000</f>
        <v>0.26173392968445341</v>
      </c>
      <c r="AT214" s="238">
        <f t="shared" ref="AT214:AU214" si="141">AQ206/((AQ205*100)*(AQ207*100)*7000*4.1868)*10000000-AQ206/((AQ205*100-(-(AQ214-$AN$214)/100*0.008)*100)*(AQ207*100)*7000*4.1868)*10000000</f>
        <v>0.26095720225214336</v>
      </c>
      <c r="AU214" s="238">
        <f t="shared" si="141"/>
        <v>0.26200930389245514</v>
      </c>
      <c r="BP214" s="4"/>
    </row>
    <row r="215" spans="38:68" ht="16.149999999999999" x14ac:dyDescent="0.4">
      <c r="AL215" s="13"/>
      <c r="AM215" s="225" t="s">
        <v>249</v>
      </c>
      <c r="AN215" s="237">
        <v>35.72</v>
      </c>
      <c r="AO215" s="225" t="s">
        <v>250</v>
      </c>
      <c r="AP215" s="232">
        <f t="shared" si="139"/>
        <v>24.534439335197003</v>
      </c>
      <c r="AQ215" s="310">
        <f>$G$42</f>
        <v>24.534439335197003</v>
      </c>
      <c r="AR215" s="310">
        <f>$G$42</f>
        <v>24.534439335197003</v>
      </c>
      <c r="AS215" s="236">
        <f>AP206/((AP205*100)*(AP207*100)*7000*4.1868)*10000000-AP206/((AP205*100-(($AT232-$AN$232)/100)*100)*(AP207*100)*7000*4.1868)*10000000</f>
        <v>-3.1423534214251276</v>
      </c>
      <c r="AT215" s="236">
        <f t="shared" ref="AT215:AU215" si="142">AQ206/((AQ205*100)*(AQ207*100)*7000*4.1868)*10000000-AQ206/((AQ205*100-(($AT232-$AN$232)/100)*100)*(AQ207*100)*7000*4.1868)*10000000</f>
        <v>-3.1329934456919659</v>
      </c>
      <c r="AU215" s="236">
        <f t="shared" si="142"/>
        <v>-3.145671902740105</v>
      </c>
      <c r="BP215" s="4"/>
    </row>
    <row r="216" spans="38:68" ht="16.149999999999999" x14ac:dyDescent="0.4">
      <c r="AL216" s="13"/>
      <c r="AM216" s="221" t="s">
        <v>251</v>
      </c>
      <c r="AN216" s="237">
        <v>1.89</v>
      </c>
      <c r="AO216" s="221" t="s">
        <v>252</v>
      </c>
      <c r="AP216" s="231">
        <f t="shared" si="139"/>
        <v>2.9476190476190469</v>
      </c>
      <c r="AQ216" s="310">
        <v>2.7999999999999994</v>
      </c>
      <c r="AR216" s="310">
        <v>2.9999999999999996</v>
      </c>
      <c r="AS216" s="238">
        <f>AP206/((AP205*100)*(AP207*100)*7000*4.1868)*10000000-AP206/((AP205*100-((AU$232-$AN$232)/100)*100)*(AP207*100)*7000*4.1868)*10000000</f>
        <v>0.96142606616615467</v>
      </c>
      <c r="AT216" s="238">
        <f t="shared" ref="AT216:AU216" si="143">AQ206/((AQ205*100)*(AQ207*100)*7000*4.1868)*10000000-AQ206/((AQ205*100-((AV$232-$AN$232)/100)*100)*(AQ207*100)*7000*4.1868)*10000000</f>
        <v>0.62943525722533877</v>
      </c>
      <c r="AU216" s="238">
        <f t="shared" si="143"/>
        <v>1.0797642003176975</v>
      </c>
      <c r="BP216" s="4"/>
    </row>
    <row r="217" spans="38:68" ht="16.149999999999999" x14ac:dyDescent="0.4">
      <c r="AL217" s="13"/>
      <c r="AM217" s="225" t="s">
        <v>253</v>
      </c>
      <c r="AN217" s="237">
        <v>1.89</v>
      </c>
      <c r="AO217" s="225" t="s">
        <v>254</v>
      </c>
      <c r="AP217" s="232">
        <f t="shared" si="139"/>
        <v>2.5000000000000004</v>
      </c>
      <c r="AQ217" s="310">
        <v>2.5000000000000004</v>
      </c>
      <c r="AR217" s="310">
        <v>2.5000000000000004</v>
      </c>
      <c r="AS217" s="236">
        <f>AP206/((AP205*100)*(AP207*100)*7000*4.1868)*10000000-AP206/((AP205*100-((AX$232-$AN$232)/100)*100)*(AP207*100)*7000*4.1868)*10000000</f>
        <v>-1.2431685064046292</v>
      </c>
      <c r="AT217" s="236">
        <f t="shared" ref="AT217:AU217" si="144">AQ206/((AQ205*100)*(AQ207*100)*7000*4.1868)*10000000-AQ206/((AQ205*100-((AY$232-$AN$232)/100)*100)*(AQ207*100)*7000*4.1868)*10000000</f>
        <v>-1.2394731903002594</v>
      </c>
      <c r="AU217" s="236">
        <f t="shared" si="144"/>
        <v>-1.2444786251244864</v>
      </c>
      <c r="BP217" s="4"/>
    </row>
    <row r="218" spans="38:68" ht="16.149999999999999" x14ac:dyDescent="0.4">
      <c r="AL218" s="13"/>
      <c r="AM218" s="221" t="s">
        <v>255</v>
      </c>
      <c r="AN218" s="228">
        <v>127</v>
      </c>
      <c r="AO218" s="221" t="s">
        <v>256</v>
      </c>
      <c r="AP218" s="231">
        <f t="shared" si="139"/>
        <v>125.8</v>
      </c>
      <c r="AQ218" s="310">
        <v>126.265</v>
      </c>
      <c r="AR218" s="310">
        <v>125.63500000000001</v>
      </c>
      <c r="AS218" s="238">
        <f>AP206/((AP205*100)*(AP207*100)*7000*4.1868)*10000000-AP206/((AP205*100-((BA$232-$AN$232)/100)*100)*(AP207*100)*7000*4.1868)*10000000</f>
        <v>-1.5845265696809179</v>
      </c>
      <c r="AT218" s="238">
        <f t="shared" ref="AT218:AU218" si="145">AQ206/((AQ205*100)*(AQ207*100)*7000*4.1868)*10000000-AQ206/((AQ205*100-((BB$232-$AN$232)/100)*100)*(AQ207*100)*7000*4.1868)*10000000</f>
        <v>-1.5076073319763168</v>
      </c>
      <c r="AU218" s="238">
        <f t="shared" si="145"/>
        <v>-1.6119311453056184</v>
      </c>
      <c r="BP218" s="4"/>
    </row>
    <row r="219" spans="38:68" ht="16.149999999999999" x14ac:dyDescent="0.4">
      <c r="AL219" s="13"/>
      <c r="AM219" s="225" t="s">
        <v>257</v>
      </c>
      <c r="AN219" s="228">
        <v>30.5</v>
      </c>
      <c r="AO219" s="225" t="s">
        <v>258</v>
      </c>
      <c r="AP219" s="232">
        <f t="shared" si="139"/>
        <v>32</v>
      </c>
      <c r="AQ219" s="310">
        <v>32</v>
      </c>
      <c r="AR219" s="310">
        <v>32</v>
      </c>
      <c r="AS219" s="236">
        <f>AP206/((AP205*100)*(AP207*100)*7000*4.1868)*10000000-AP206/((AP205*100-((BD$232-$AN$232)/100)*100)*(AP207*100)*7000*4.1868)*10000000</f>
        <v>-1.6321750107155708</v>
      </c>
      <c r="AT219" s="236">
        <f t="shared" ref="AT219:AU219" si="146">AQ206/((AQ205*100)*(AQ207*100)*7000*4.1868)*10000000-AQ206/((AQ205*100-((BE$232-$AN$232)/100)*100)*(AQ207*100)*7000*4.1868)*10000000</f>
        <v>-1.6273213163263449</v>
      </c>
      <c r="AU219" s="236">
        <f t="shared" si="146"/>
        <v>-1.6338958195703981</v>
      </c>
      <c r="BP219" s="4"/>
    </row>
    <row r="220" spans="38:68" ht="16.149999999999999" x14ac:dyDescent="0.4">
      <c r="AL220" s="13"/>
      <c r="AM220" s="221" t="s">
        <v>259</v>
      </c>
      <c r="AN220" s="228">
        <v>3.25</v>
      </c>
      <c r="AO220" s="221" t="s">
        <v>260</v>
      </c>
      <c r="AP220" s="223">
        <f t="shared" si="139"/>
        <v>2.4957156093432298</v>
      </c>
      <c r="AQ220" s="310">
        <v>2.4957156093432298</v>
      </c>
      <c r="AR220" s="310">
        <v>2.4957156093432298</v>
      </c>
      <c r="AS220" s="238">
        <f>AP206/((AP205*100)*(AP207*100)*7000*4.1868)*10000000-AP206/((AP205*100-((BG$232-$AN$232)/100)*100)*(AP207*100)*7000*4.1868)*10000000</f>
        <v>-1.9361121851091525</v>
      </c>
      <c r="AT220" s="238">
        <f t="shared" ref="AT220:AU220" si="147">AQ206/((AQ205*100)*(AQ207*100)*7000*4.1868)*10000000-AQ206/((AQ205*100-((BH$232-$AN$232)/100)*100)*(AQ207*100)*7000*4.1868)*10000000</f>
        <v>-1.9303527483531298</v>
      </c>
      <c r="AU220" s="238">
        <f t="shared" si="147"/>
        <v>-1.9381541163513702</v>
      </c>
      <c r="BP220" s="4"/>
    </row>
    <row r="221" spans="38:68" ht="16.149999999999999" x14ac:dyDescent="0.4">
      <c r="AL221" s="13"/>
      <c r="AM221" s="225" t="s">
        <v>261</v>
      </c>
      <c r="AN221" s="228">
        <v>292</v>
      </c>
      <c r="AO221" s="225" t="s">
        <v>262</v>
      </c>
      <c r="AP221" s="232">
        <f t="shared" si="139"/>
        <v>286.04761904761904</v>
      </c>
      <c r="AQ221" s="310">
        <v>289</v>
      </c>
      <c r="AR221" s="310">
        <v>285</v>
      </c>
      <c r="AS221" s="236">
        <f>AP206/((AP205*100)*(AP207*100)*7000*4.1868)*10000000-AP206/((AP205*100-(-($AN$221-AP221)*0.02%)*100)*(AP207*100)*7000*4.1868)*10000000</f>
        <v>0.38319003668436835</v>
      </c>
      <c r="AT221" s="236">
        <f t="shared" ref="AT221:AU221" si="148">AQ206/((AQ205*100)*(AQ207*100)*7000*4.1868)*10000000-AQ206/((AQ205*100-(-($AN$221-AQ221)*0.02%)*100)*(AQ207*100)*7000*4.1868)*10000000</f>
        <v>0.19267701856574604</v>
      </c>
      <c r="AU221" s="236">
        <f t="shared" si="148"/>
        <v>0.45100382703810737</v>
      </c>
      <c r="BP221" s="4"/>
    </row>
    <row r="222" spans="38:68" ht="16.149999999999999" x14ac:dyDescent="0.4">
      <c r="AL222" s="13"/>
      <c r="AM222" s="221" t="s">
        <v>263</v>
      </c>
      <c r="AN222" s="228">
        <v>1216</v>
      </c>
      <c r="AO222" s="221" t="s">
        <v>264</v>
      </c>
      <c r="AP222" s="231">
        <f t="shared" si="139"/>
        <v>1203.9285714285713</v>
      </c>
      <c r="AQ222" s="310">
        <v>1215</v>
      </c>
      <c r="AR222" s="310">
        <v>1200</v>
      </c>
      <c r="AS222" s="238">
        <f>AP206/((AP205*100)*(AP207*100)*7000*4.1868)*10000000-AP206/((AP205*100-((BJ$232-$AN$232)/100)*100)*(AP207*100)*7000*4.1868)*10000000</f>
        <v>-1.3849321820248406</v>
      </c>
      <c r="AT222" s="238">
        <f t="shared" ref="AT222:AU222" si="149">AQ206/((AQ205*100)*(AQ207*100)*7000*4.1868)*10000000-AQ206/((AQ205*100-((BK$232-$AN$232)/100)*100)*(AQ207*100)*7000*4.1868)*10000000</f>
        <v>-1.3924988585996516</v>
      </c>
      <c r="AU222" s="238">
        <f t="shared" si="149"/>
        <v>-1.3821774015342498</v>
      </c>
      <c r="BP222" s="4"/>
    </row>
    <row r="223" spans="38:68" ht="16.149999999999999" x14ac:dyDescent="0.4">
      <c r="AL223" s="13"/>
      <c r="AM223" s="225" t="s">
        <v>265</v>
      </c>
      <c r="AN223" s="228">
        <v>890</v>
      </c>
      <c r="AO223" s="225" t="s">
        <v>266</v>
      </c>
      <c r="AP223" s="232">
        <f t="shared" si="139"/>
        <v>892.61904761904759</v>
      </c>
      <c r="AQ223" s="310">
        <v>900</v>
      </c>
      <c r="AR223" s="310">
        <v>890</v>
      </c>
      <c r="AS223" s="236">
        <f>AP206/((AP205*100)*(AP207*100)*7000*4.1868)*10000000-AP206/((AP205*100-((BM$232-$AN$232)/100)*100)*(AP207*100)*7000*4.1868)*10000000</f>
        <v>-1.3961209347627914</v>
      </c>
      <c r="AT223" s="236">
        <f t="shared" ref="AT223:AU223" si="150">AQ206/((AQ205*100)*(AQ207*100)*7000*4.1868)*10000000-AQ206/((AQ205*100-((BN$232-$AN$232)/100)*100)*(AQ207*100)*7000*4.1868)*10000000</f>
        <v>-1.3875360079455277</v>
      </c>
      <c r="AU223" s="236">
        <f t="shared" si="150"/>
        <v>-1.3991723364377435</v>
      </c>
      <c r="BP223" s="4"/>
    </row>
    <row r="224" spans="38:68" ht="16.149999999999999" x14ac:dyDescent="0.4">
      <c r="AL224" s="13"/>
      <c r="AM224" s="221" t="s">
        <v>267</v>
      </c>
      <c r="AN224" s="228">
        <v>-87</v>
      </c>
      <c r="AO224" s="221" t="s">
        <v>268</v>
      </c>
      <c r="AP224" s="231">
        <f t="shared" si="139"/>
        <v>-90.708845238095236</v>
      </c>
      <c r="AQ224" s="230">
        <f>AQ208-AQ225</f>
        <v>-90.49</v>
      </c>
      <c r="AR224" s="230">
        <f>AR208-AR225</f>
        <v>-90.786500000000004</v>
      </c>
      <c r="AS224" s="231" t="s">
        <v>178</v>
      </c>
      <c r="AT224" s="231" t="s">
        <v>178</v>
      </c>
      <c r="AU224" s="231" t="s">
        <v>178</v>
      </c>
      <c r="BP224" s="4"/>
    </row>
    <row r="225" spans="38:68" ht="16.149999999999999" x14ac:dyDescent="0.4">
      <c r="AL225" s="13"/>
      <c r="AM225" s="225" t="s">
        <v>269</v>
      </c>
      <c r="AN225" s="228">
        <v>93.8</v>
      </c>
      <c r="AO225" s="225" t="s">
        <v>270</v>
      </c>
      <c r="AP225" s="232">
        <f t="shared" si="139"/>
        <v>100</v>
      </c>
      <c r="AQ225" s="230">
        <v>100</v>
      </c>
      <c r="AR225" s="230">
        <v>100</v>
      </c>
      <c r="AS225" s="235" t="s">
        <v>178</v>
      </c>
      <c r="AT225" s="235" t="s">
        <v>178</v>
      </c>
      <c r="AU225" s="235" t="s">
        <v>178</v>
      </c>
      <c r="BP225" s="4"/>
    </row>
    <row r="226" spans="38:68" ht="16.149999999999999" x14ac:dyDescent="0.4">
      <c r="AL226" s="13"/>
      <c r="AM226" s="221" t="s">
        <v>271</v>
      </c>
      <c r="AN226" s="228">
        <v>24.2</v>
      </c>
      <c r="AO226" s="221" t="s">
        <v>272</v>
      </c>
      <c r="AP226" s="231">
        <f t="shared" si="139"/>
        <v>23.8</v>
      </c>
      <c r="AQ226" s="310">
        <v>23.8</v>
      </c>
      <c r="AR226" s="310">
        <v>23.8</v>
      </c>
      <c r="AS226" s="231">
        <f>(AP210*(1*0+(AP208-$AN$208)/100*0+($AN$226-AP226)*0.25%*1+($AN$227-AP227)*0.04%*0+($AN$228-AP228)*0.02%*0))/((AP205*100)*(AP207*100)*7000*4.1868)*10000000</f>
        <v>0.29146315519619564</v>
      </c>
      <c r="AT226" s="231">
        <f t="shared" ref="AT226:AU226" si="151">(AQ210*(1*0+(AQ208-$AN$208)/100*0+($AN$226-AQ226)*0.25%*1+($AN$227-AQ227)*0.04%*0+($AN$228-AQ228)*0.02%*0))/((AQ205*100)*(AQ207*100)*7000*4.1868)*10000000</f>
        <v>0.29026141848423259</v>
      </c>
      <c r="AU226" s="231">
        <f t="shared" si="151"/>
        <v>0.29189014029148397</v>
      </c>
      <c r="BP226" s="4"/>
    </row>
    <row r="227" spans="38:68" ht="16.149999999999999" x14ac:dyDescent="0.4">
      <c r="AL227" s="13"/>
      <c r="AM227" s="225" t="s">
        <v>273</v>
      </c>
      <c r="AN227" s="228">
        <v>566</v>
      </c>
      <c r="AO227" s="225" t="s">
        <v>274</v>
      </c>
      <c r="AP227" s="232">
        <f t="shared" si="139"/>
        <v>566</v>
      </c>
      <c r="AQ227" s="310">
        <v>566</v>
      </c>
      <c r="AR227" s="310">
        <v>566</v>
      </c>
      <c r="AS227" s="232">
        <f>(AP210*(1*0+(AP208-$AN$208)/100*0+($AN$226-AP226)*0.25%*0+($AN$227-AP227)*0.04%*1+($AN$228-AP228)*0.02%*0))/((AP205*100)*(AP207*100)*7000*4.1868)*10000000</f>
        <v>0</v>
      </c>
      <c r="AT227" s="232">
        <f t="shared" ref="AT227:AU227" si="152">(AQ210*(1*0+(AQ208-$AN$208)/100*0+($AN$226-AQ226)*0.25%*0+($AN$227-AQ227)*0.04%*1+($AN$228-AQ228)*0.02%*0))/((AQ205*100)*(AQ207*100)*7000*4.1868)*10000000</f>
        <v>0</v>
      </c>
      <c r="AU227" s="232">
        <f t="shared" si="152"/>
        <v>0</v>
      </c>
      <c r="BP227" s="4"/>
    </row>
    <row r="228" spans="38:68" ht="16.149999999999999" x14ac:dyDescent="0.4">
      <c r="AL228" s="13"/>
      <c r="AM228" s="221" t="s">
        <v>275</v>
      </c>
      <c r="AN228" s="228">
        <v>566</v>
      </c>
      <c r="AO228" s="221" t="s">
        <v>276</v>
      </c>
      <c r="AP228" s="231">
        <f t="shared" si="139"/>
        <v>566</v>
      </c>
      <c r="AQ228" s="310">
        <v>566</v>
      </c>
      <c r="AR228" s="310">
        <v>566</v>
      </c>
      <c r="AS228" s="231">
        <f>(AP210*(1*0+(AP208-$AN$208)/100*0+($AN$226-AP226)*0.25%*0+($AN$227-AP227)*0.04%*0+($AN$228-AP228)*0.02%*1))/((AP205*100)*(AP207*100)*7000*4.1868)*10000000</f>
        <v>0</v>
      </c>
      <c r="AT228" s="231">
        <f t="shared" ref="AT228:AU228" si="153">(AQ210*(1*0+(AQ208-$AN$208)/100*0+($AN$226-AQ226)*0.25%*0+($AN$227-AQ227)*0.04%*0+($AN$228-AQ228)*0.02%*1))/((AQ205*100)*(AQ207*100)*7000*4.1868)*10000000</f>
        <v>0</v>
      </c>
      <c r="AU228" s="231">
        <f t="shared" si="153"/>
        <v>0</v>
      </c>
      <c r="BP228" s="4"/>
    </row>
    <row r="229" spans="38:68" x14ac:dyDescent="0.4">
      <c r="AL229" s="13"/>
      <c r="AM229" s="239"/>
      <c r="AN229" s="239"/>
      <c r="AO229" s="239"/>
      <c r="AP229" s="239"/>
      <c r="AQ229" s="239"/>
      <c r="AR229" s="239"/>
      <c r="AS229" s="239"/>
      <c r="AT229" s="239"/>
      <c r="AU229" s="239"/>
      <c r="BP229" s="4"/>
    </row>
    <row r="230" spans="38:68" ht="16.899999999999999" x14ac:dyDescent="0.4">
      <c r="AL230" s="13"/>
      <c r="AM230" s="240" t="s">
        <v>277</v>
      </c>
      <c r="AN230" s="241">
        <f>AP204*AP211/1000/1000</f>
        <v>11.420014098844746</v>
      </c>
      <c r="AO230" s="240" t="s">
        <v>278</v>
      </c>
      <c r="AP230" s="242">
        <f>AP204*AP211/1000/1000*7000/AP213</f>
        <v>25.030456489744566</v>
      </c>
      <c r="AQ230" s="243">
        <f t="shared" ref="AQ230:AR230" si="154">AQ204*AQ211/1000/1000*7000/AQ213</f>
        <v>6.5424960140498278</v>
      </c>
      <c r="AR230" s="243">
        <f t="shared" si="154"/>
        <v>18.487918002395443</v>
      </c>
      <c r="AS230" s="244"/>
      <c r="AT230" s="244"/>
      <c r="AU230" s="244"/>
      <c r="BP230" s="4"/>
    </row>
    <row r="231" spans="38:68" ht="38.25" x14ac:dyDescent="0.4">
      <c r="AL231" s="13"/>
      <c r="AN231" s="246" t="s">
        <v>230</v>
      </c>
      <c r="AP231" s="246" t="s">
        <v>279</v>
      </c>
      <c r="AQ231" s="246" t="s">
        <v>280</v>
      </c>
      <c r="AR231" s="246" t="s">
        <v>281</v>
      </c>
      <c r="AS231" s="246" t="s">
        <v>282</v>
      </c>
      <c r="AT231" s="246" t="s">
        <v>283</v>
      </c>
      <c r="AU231" s="246" t="s">
        <v>284</v>
      </c>
      <c r="AV231" s="246" t="s">
        <v>285</v>
      </c>
      <c r="AW231" s="246" t="s">
        <v>286</v>
      </c>
      <c r="AX231" s="247" t="s">
        <v>287</v>
      </c>
      <c r="AY231" s="247" t="s">
        <v>288</v>
      </c>
      <c r="AZ231" s="247" t="s">
        <v>289</v>
      </c>
      <c r="BA231" s="247" t="s">
        <v>290</v>
      </c>
      <c r="BB231" s="247" t="s">
        <v>291</v>
      </c>
      <c r="BC231" s="247" t="s">
        <v>292</v>
      </c>
      <c r="BD231" s="247" t="s">
        <v>293</v>
      </c>
      <c r="BE231" s="247" t="s">
        <v>294</v>
      </c>
      <c r="BF231" s="247" t="s">
        <v>295</v>
      </c>
      <c r="BG231" s="247" t="s">
        <v>296</v>
      </c>
      <c r="BH231" s="247" t="s">
        <v>297</v>
      </c>
      <c r="BI231" s="247" t="s">
        <v>298</v>
      </c>
      <c r="BJ231" s="247" t="s">
        <v>299</v>
      </c>
      <c r="BK231" s="247" t="s">
        <v>300</v>
      </c>
      <c r="BL231" s="247" t="s">
        <v>301</v>
      </c>
      <c r="BM231" s="247" t="s">
        <v>302</v>
      </c>
      <c r="BN231" s="247" t="s">
        <v>303</v>
      </c>
      <c r="BO231" s="247" t="s">
        <v>304</v>
      </c>
      <c r="BP231" s="4"/>
    </row>
    <row r="232" spans="38:68" ht="19.149999999999999" x14ac:dyDescent="0.4">
      <c r="AL232" s="13"/>
      <c r="AN232" s="248">
        <f>100-SUM(AN233,AN241,AN250,AN254)</f>
        <v>92.996569384732865</v>
      </c>
      <c r="AP232" s="248">
        <f>100-SUM(AP233,AP241,AP250,AP254)</f>
        <v>93.311740506283058</v>
      </c>
      <c r="AQ232" s="248">
        <f t="shared" ref="AQ232:BO232" si="155">100-SUM(AQ233,AQ241,AQ250,AQ254)</f>
        <v>93.380156259863242</v>
      </c>
      <c r="AR232" s="248">
        <f t="shared" si="155"/>
        <v>93.287384493756136</v>
      </c>
      <c r="AS232" s="248">
        <f t="shared" si="155"/>
        <v>93.028489157257411</v>
      </c>
      <c r="AT232" s="248">
        <f t="shared" si="155"/>
        <v>93.961434981165567</v>
      </c>
      <c r="AU232" s="248">
        <f t="shared" si="155"/>
        <v>92.697299005801398</v>
      </c>
      <c r="AV232" s="248">
        <f t="shared" si="155"/>
        <v>92.800274672506404</v>
      </c>
      <c r="AW232" s="248">
        <f t="shared" si="155"/>
        <v>92.660683913403318</v>
      </c>
      <c r="AX232" s="248">
        <f t="shared" si="155"/>
        <v>93.380699935588652</v>
      </c>
      <c r="AY232" s="248">
        <f t="shared" si="155"/>
        <v>93.380699935588652</v>
      </c>
      <c r="AZ232" s="248">
        <f t="shared" si="155"/>
        <v>93.380699935588652</v>
      </c>
      <c r="BA232" s="248">
        <f t="shared" si="155"/>
        <v>93.485621504491846</v>
      </c>
      <c r="BB232" s="248">
        <f t="shared" si="155"/>
        <v>93.463381049793753</v>
      </c>
      <c r="BC232" s="248">
        <f t="shared" si="155"/>
        <v>93.493513278739556</v>
      </c>
      <c r="BD232" s="248">
        <f t="shared" si="155"/>
        <v>93.500248033382292</v>
      </c>
      <c r="BE232" s="248">
        <f t="shared" si="155"/>
        <v>93.500248033382292</v>
      </c>
      <c r="BF232" s="248">
        <f t="shared" si="155"/>
        <v>93.500248033382292</v>
      </c>
      <c r="BG232" s="248">
        <f t="shared" si="155"/>
        <v>93.593437961398493</v>
      </c>
      <c r="BH232" s="248">
        <f t="shared" si="155"/>
        <v>93.593437961398493</v>
      </c>
      <c r="BI232" s="248">
        <f t="shared" si="155"/>
        <v>93.593437961398493</v>
      </c>
      <c r="BJ232" s="248">
        <f t="shared" si="155"/>
        <v>93.42430208532366</v>
      </c>
      <c r="BK232" s="248">
        <f t="shared" si="155"/>
        <v>93.427904622444288</v>
      </c>
      <c r="BL232" s="248">
        <f t="shared" si="155"/>
        <v>93.423007786704929</v>
      </c>
      <c r="BM232" s="248">
        <f t="shared" si="155"/>
        <v>93.427741650493374</v>
      </c>
      <c r="BN232" s="248">
        <f t="shared" si="155"/>
        <v>93.426374459756545</v>
      </c>
      <c r="BO232" s="248">
        <f t="shared" si="155"/>
        <v>93.428226782690302</v>
      </c>
      <c r="BP232" s="4"/>
    </row>
    <row r="233" spans="38:68" ht="19.149999999999999" x14ac:dyDescent="0.4">
      <c r="AL233" s="13"/>
      <c r="AM233" s="249"/>
      <c r="AN233" s="250">
        <f>(AN237*AN234+AN238)*(AN235-AN236)/100</f>
        <v>4.4775999999999998</v>
      </c>
      <c r="AO233" s="251" t="s">
        <v>305</v>
      </c>
      <c r="AP233" s="250">
        <f>(AP237*AP234+AP238)*(AP235-AP236)/100</f>
        <v>4.1917313102297635</v>
      </c>
      <c r="AQ233" s="250">
        <f t="shared" ref="AQ233:BO233" si="156">(AQ237*AQ234+AQ238)*(AQ235-AQ236)/100</f>
        <v>4.2125112149126727</v>
      </c>
      <c r="AR233" s="250">
        <f t="shared" si="156"/>
        <v>4.1843577956648605</v>
      </c>
      <c r="AS233" s="250">
        <f t="shared" si="156"/>
        <v>4.4775999999999998</v>
      </c>
      <c r="AT233" s="250">
        <f t="shared" si="156"/>
        <v>4.4775999999999998</v>
      </c>
      <c r="AU233" s="250">
        <f t="shared" si="156"/>
        <v>4.4775999999999998</v>
      </c>
      <c r="AV233" s="250">
        <f t="shared" si="156"/>
        <v>4.4775999999999998</v>
      </c>
      <c r="AW233" s="250">
        <f t="shared" si="156"/>
        <v>4.4775999999999998</v>
      </c>
      <c r="AX233" s="250">
        <f t="shared" si="156"/>
        <v>4.4775999999999998</v>
      </c>
      <c r="AY233" s="250">
        <f t="shared" si="156"/>
        <v>4.4775999999999998</v>
      </c>
      <c r="AZ233" s="250">
        <f t="shared" si="156"/>
        <v>4.4775999999999998</v>
      </c>
      <c r="BA233" s="250">
        <f t="shared" si="156"/>
        <v>4.4219199999999992</v>
      </c>
      <c r="BB233" s="250">
        <f t="shared" si="156"/>
        <v>4.4434959999999997</v>
      </c>
      <c r="BC233" s="250">
        <f t="shared" si="156"/>
        <v>4.4142640000000002</v>
      </c>
      <c r="BD233" s="250">
        <f t="shared" si="156"/>
        <v>4.4079999999999995</v>
      </c>
      <c r="BE233" s="250">
        <f t="shared" si="156"/>
        <v>4.4079999999999995</v>
      </c>
      <c r="BF233" s="250">
        <f t="shared" si="156"/>
        <v>4.4079999999999995</v>
      </c>
      <c r="BG233" s="250">
        <f t="shared" si="156"/>
        <v>4.3123888212918144</v>
      </c>
      <c r="BH233" s="250">
        <f t="shared" si="156"/>
        <v>4.3123888212918144</v>
      </c>
      <c r="BI233" s="250">
        <f t="shared" si="156"/>
        <v>4.3123888212918144</v>
      </c>
      <c r="BJ233" s="250">
        <f t="shared" si="156"/>
        <v>4.4775999999999998</v>
      </c>
      <c r="BK233" s="250">
        <f t="shared" si="156"/>
        <v>4.4775999999999998</v>
      </c>
      <c r="BL233" s="250">
        <f t="shared" si="156"/>
        <v>4.4775999999999998</v>
      </c>
      <c r="BM233" s="250">
        <f t="shared" si="156"/>
        <v>4.4775999999999998</v>
      </c>
      <c r="BN233" s="250">
        <f t="shared" si="156"/>
        <v>4.4775999999999998</v>
      </c>
      <c r="BO233" s="250">
        <f t="shared" si="156"/>
        <v>4.4775999999999998</v>
      </c>
      <c r="BP233" s="4"/>
    </row>
    <row r="234" spans="38:68" ht="19.149999999999999" x14ac:dyDescent="0.4">
      <c r="AL234" s="13"/>
      <c r="AM234" s="249"/>
      <c r="AN234" s="250">
        <f>21/(21-AN239)</f>
        <v>1.1830985915492958</v>
      </c>
      <c r="AO234" s="251" t="s">
        <v>306</v>
      </c>
      <c r="AP234" s="250">
        <f>21/(21-AP239)</f>
        <v>1.1348723115498254</v>
      </c>
      <c r="AQ234" s="250">
        <f t="shared" ref="AQ234:BO234" si="157">21/(21-AQ239)</f>
        <v>1.1348723115498254</v>
      </c>
      <c r="AR234" s="250">
        <f t="shared" si="157"/>
        <v>1.1348723115498254</v>
      </c>
      <c r="AS234" s="250">
        <f t="shared" si="157"/>
        <v>1.1830985915492958</v>
      </c>
      <c r="AT234" s="250">
        <f t="shared" si="157"/>
        <v>1.1830985915492958</v>
      </c>
      <c r="AU234" s="250">
        <f t="shared" si="157"/>
        <v>1.1830985915492958</v>
      </c>
      <c r="AV234" s="250">
        <f t="shared" si="157"/>
        <v>1.1830985915492958</v>
      </c>
      <c r="AW234" s="250">
        <f t="shared" si="157"/>
        <v>1.1830985915492958</v>
      </c>
      <c r="AX234" s="250">
        <f t="shared" si="157"/>
        <v>1.1830985915492958</v>
      </c>
      <c r="AY234" s="250">
        <f t="shared" si="157"/>
        <v>1.1830985915492958</v>
      </c>
      <c r="AZ234" s="250">
        <f t="shared" si="157"/>
        <v>1.1830985915492958</v>
      </c>
      <c r="BA234" s="250">
        <f t="shared" si="157"/>
        <v>1.1830985915492958</v>
      </c>
      <c r="BB234" s="250">
        <f t="shared" si="157"/>
        <v>1.1830985915492958</v>
      </c>
      <c r="BC234" s="250">
        <f t="shared" si="157"/>
        <v>1.1830985915492958</v>
      </c>
      <c r="BD234" s="250">
        <f t="shared" si="157"/>
        <v>1.1830985915492958</v>
      </c>
      <c r="BE234" s="250">
        <f t="shared" si="157"/>
        <v>1.1830985915492958</v>
      </c>
      <c r="BF234" s="250">
        <f t="shared" si="157"/>
        <v>1.1830985915492958</v>
      </c>
      <c r="BG234" s="250">
        <f t="shared" si="157"/>
        <v>1.1348723115498254</v>
      </c>
      <c r="BH234" s="250">
        <f t="shared" si="157"/>
        <v>1.1348723115498254</v>
      </c>
      <c r="BI234" s="250">
        <f t="shared" si="157"/>
        <v>1.1348723115498254</v>
      </c>
      <c r="BJ234" s="250">
        <f t="shared" si="157"/>
        <v>1.1830985915492958</v>
      </c>
      <c r="BK234" s="250">
        <f t="shared" si="157"/>
        <v>1.1830985915492958</v>
      </c>
      <c r="BL234" s="250">
        <f t="shared" si="157"/>
        <v>1.1830985915492958</v>
      </c>
      <c r="BM234" s="250">
        <f t="shared" si="157"/>
        <v>1.1830985915492958</v>
      </c>
      <c r="BN234" s="250">
        <f t="shared" si="157"/>
        <v>1.1830985915492958</v>
      </c>
      <c r="BO234" s="250">
        <f t="shared" si="157"/>
        <v>1.1830985915492958</v>
      </c>
      <c r="BP234" s="4"/>
    </row>
    <row r="235" spans="38:68" ht="19.149999999999999" x14ac:dyDescent="0.4">
      <c r="AL235" s="13"/>
      <c r="AM235" s="249"/>
      <c r="AN235" s="252">
        <f>AN218</f>
        <v>127</v>
      </c>
      <c r="AO235" s="251" t="s">
        <v>307</v>
      </c>
      <c r="AP235" s="252">
        <f t="shared" ref="AP235:AR236" si="158">AP218</f>
        <v>125.8</v>
      </c>
      <c r="AQ235" s="252">
        <f t="shared" si="158"/>
        <v>126.265</v>
      </c>
      <c r="AR235" s="252">
        <f t="shared" si="158"/>
        <v>125.63500000000001</v>
      </c>
      <c r="AS235" s="252">
        <f t="shared" ref="AS235:AZ235" si="159">$AN$235</f>
        <v>127</v>
      </c>
      <c r="AT235" s="252">
        <f t="shared" si="159"/>
        <v>127</v>
      </c>
      <c r="AU235" s="252">
        <f t="shared" si="159"/>
        <v>127</v>
      </c>
      <c r="AV235" s="252">
        <f t="shared" si="159"/>
        <v>127</v>
      </c>
      <c r="AW235" s="252">
        <f t="shared" si="159"/>
        <v>127</v>
      </c>
      <c r="AX235" s="252">
        <f t="shared" si="159"/>
        <v>127</v>
      </c>
      <c r="AY235" s="252">
        <f t="shared" si="159"/>
        <v>127</v>
      </c>
      <c r="AZ235" s="252">
        <f t="shared" si="159"/>
        <v>127</v>
      </c>
      <c r="BA235" s="252">
        <f>AP218</f>
        <v>125.8</v>
      </c>
      <c r="BB235" s="252">
        <f>AQ218</f>
        <v>126.265</v>
      </c>
      <c r="BC235" s="252">
        <f>AR218</f>
        <v>125.63500000000001</v>
      </c>
      <c r="BD235" s="252">
        <f t="shared" ref="BD235:BO235" si="160">$AN$235</f>
        <v>127</v>
      </c>
      <c r="BE235" s="252">
        <f t="shared" si="160"/>
        <v>127</v>
      </c>
      <c r="BF235" s="252">
        <f t="shared" si="160"/>
        <v>127</v>
      </c>
      <c r="BG235" s="252">
        <f t="shared" si="160"/>
        <v>127</v>
      </c>
      <c r="BH235" s="252">
        <f t="shared" si="160"/>
        <v>127</v>
      </c>
      <c r="BI235" s="252">
        <f t="shared" si="160"/>
        <v>127</v>
      </c>
      <c r="BJ235" s="252">
        <f t="shared" si="160"/>
        <v>127</v>
      </c>
      <c r="BK235" s="252">
        <f t="shared" si="160"/>
        <v>127</v>
      </c>
      <c r="BL235" s="252">
        <f t="shared" si="160"/>
        <v>127</v>
      </c>
      <c r="BM235" s="252">
        <f t="shared" si="160"/>
        <v>127</v>
      </c>
      <c r="BN235" s="252">
        <f t="shared" si="160"/>
        <v>127</v>
      </c>
      <c r="BO235" s="252">
        <f t="shared" si="160"/>
        <v>127</v>
      </c>
      <c r="BP235" s="4"/>
    </row>
    <row r="236" spans="38:68" ht="19.149999999999999" x14ac:dyDescent="0.4">
      <c r="AL236" s="13"/>
      <c r="AM236" s="249"/>
      <c r="AN236" s="252">
        <f>AN219</f>
        <v>30.5</v>
      </c>
      <c r="AO236" s="251" t="s">
        <v>308</v>
      </c>
      <c r="AP236" s="252">
        <f t="shared" si="158"/>
        <v>32</v>
      </c>
      <c r="AQ236" s="252">
        <f t="shared" si="158"/>
        <v>32</v>
      </c>
      <c r="AR236" s="252">
        <f t="shared" si="158"/>
        <v>32</v>
      </c>
      <c r="AS236" s="252">
        <f t="shared" ref="AS236:BC236" si="161">$AN$236</f>
        <v>30.5</v>
      </c>
      <c r="AT236" s="252">
        <f t="shared" si="161"/>
        <v>30.5</v>
      </c>
      <c r="AU236" s="252">
        <f t="shared" si="161"/>
        <v>30.5</v>
      </c>
      <c r="AV236" s="252">
        <f t="shared" si="161"/>
        <v>30.5</v>
      </c>
      <c r="AW236" s="252">
        <f t="shared" si="161"/>
        <v>30.5</v>
      </c>
      <c r="AX236" s="252">
        <f t="shared" si="161"/>
        <v>30.5</v>
      </c>
      <c r="AY236" s="252">
        <f t="shared" si="161"/>
        <v>30.5</v>
      </c>
      <c r="AZ236" s="252">
        <f t="shared" si="161"/>
        <v>30.5</v>
      </c>
      <c r="BA236" s="252">
        <f t="shared" si="161"/>
        <v>30.5</v>
      </c>
      <c r="BB236" s="252">
        <f t="shared" si="161"/>
        <v>30.5</v>
      </c>
      <c r="BC236" s="252">
        <f t="shared" si="161"/>
        <v>30.5</v>
      </c>
      <c r="BD236" s="252">
        <f>AP219</f>
        <v>32</v>
      </c>
      <c r="BE236" s="252">
        <f>AQ219</f>
        <v>32</v>
      </c>
      <c r="BF236" s="252">
        <f>AR219</f>
        <v>32</v>
      </c>
      <c r="BG236" s="252">
        <f t="shared" ref="BG236:BO236" si="162">$AN$236</f>
        <v>30.5</v>
      </c>
      <c r="BH236" s="252">
        <f t="shared" si="162"/>
        <v>30.5</v>
      </c>
      <c r="BI236" s="252">
        <f t="shared" si="162"/>
        <v>30.5</v>
      </c>
      <c r="BJ236" s="252">
        <f t="shared" si="162"/>
        <v>30.5</v>
      </c>
      <c r="BK236" s="252">
        <f t="shared" si="162"/>
        <v>30.5</v>
      </c>
      <c r="BL236" s="252">
        <f t="shared" si="162"/>
        <v>30.5</v>
      </c>
      <c r="BM236" s="252">
        <f t="shared" si="162"/>
        <v>30.5</v>
      </c>
      <c r="BN236" s="252">
        <f t="shared" si="162"/>
        <v>30.5</v>
      </c>
      <c r="BO236" s="252">
        <f t="shared" si="162"/>
        <v>30.5</v>
      </c>
      <c r="BP236" s="4"/>
    </row>
    <row r="237" spans="38:68" ht="19.149999999999999" x14ac:dyDescent="0.4">
      <c r="AL237" s="13"/>
      <c r="AM237" s="249"/>
      <c r="AN237" s="253">
        <v>3.55</v>
      </c>
      <c r="AO237" s="251" t="s">
        <v>309</v>
      </c>
      <c r="AP237" s="253">
        <v>3.55</v>
      </c>
      <c r="AQ237" s="253">
        <v>3.55</v>
      </c>
      <c r="AR237" s="253">
        <v>3.55</v>
      </c>
      <c r="AS237" s="253">
        <v>3.55</v>
      </c>
      <c r="AT237" s="253">
        <v>3.55</v>
      </c>
      <c r="AU237" s="253">
        <v>3.55</v>
      </c>
      <c r="AV237" s="253">
        <v>3.55</v>
      </c>
      <c r="AW237" s="253">
        <v>3.55</v>
      </c>
      <c r="AX237" s="253">
        <v>3.55</v>
      </c>
      <c r="AY237" s="253">
        <v>3.55</v>
      </c>
      <c r="AZ237" s="253">
        <v>3.55</v>
      </c>
      <c r="BA237" s="253">
        <v>3.55</v>
      </c>
      <c r="BB237" s="253">
        <v>3.55</v>
      </c>
      <c r="BC237" s="253">
        <v>3.55</v>
      </c>
      <c r="BD237" s="253">
        <v>3.55</v>
      </c>
      <c r="BE237" s="253">
        <v>3.55</v>
      </c>
      <c r="BF237" s="253">
        <v>3.55</v>
      </c>
      <c r="BG237" s="253">
        <v>3.55</v>
      </c>
      <c r="BH237" s="253">
        <v>3.55</v>
      </c>
      <c r="BI237" s="253">
        <v>3.55</v>
      </c>
      <c r="BJ237" s="253">
        <v>3.55</v>
      </c>
      <c r="BK237" s="253">
        <v>3.55</v>
      </c>
      <c r="BL237" s="253">
        <v>3.55</v>
      </c>
      <c r="BM237" s="253">
        <v>3.55</v>
      </c>
      <c r="BN237" s="253">
        <v>3.55</v>
      </c>
      <c r="BO237" s="253">
        <v>3.55</v>
      </c>
      <c r="BP237" s="4"/>
    </row>
    <row r="238" spans="38:68" ht="19.149999999999999" x14ac:dyDescent="0.4">
      <c r="AL238" s="13"/>
      <c r="AM238" s="249"/>
      <c r="AN238" s="253">
        <v>0.44</v>
      </c>
      <c r="AO238" s="251" t="s">
        <v>310</v>
      </c>
      <c r="AP238" s="253">
        <v>0.44</v>
      </c>
      <c r="AQ238" s="253">
        <v>0.44</v>
      </c>
      <c r="AR238" s="253">
        <v>0.44</v>
      </c>
      <c r="AS238" s="253">
        <v>0.44</v>
      </c>
      <c r="AT238" s="253">
        <v>0.44</v>
      </c>
      <c r="AU238" s="253">
        <v>0.44</v>
      </c>
      <c r="AV238" s="253">
        <v>0.44</v>
      </c>
      <c r="AW238" s="253">
        <v>0.44</v>
      </c>
      <c r="AX238" s="253">
        <v>0.44</v>
      </c>
      <c r="AY238" s="253">
        <v>0.44</v>
      </c>
      <c r="AZ238" s="253">
        <v>0.44</v>
      </c>
      <c r="BA238" s="253">
        <v>0.44</v>
      </c>
      <c r="BB238" s="253">
        <v>0.44</v>
      </c>
      <c r="BC238" s="253">
        <v>0.44</v>
      </c>
      <c r="BD238" s="253">
        <v>0.44</v>
      </c>
      <c r="BE238" s="253">
        <v>0.44</v>
      </c>
      <c r="BF238" s="253">
        <v>0.44</v>
      </c>
      <c r="BG238" s="253">
        <v>0.44</v>
      </c>
      <c r="BH238" s="253">
        <v>0.44</v>
      </c>
      <c r="BI238" s="253">
        <v>0.44</v>
      </c>
      <c r="BJ238" s="253">
        <v>0.44</v>
      </c>
      <c r="BK238" s="253">
        <v>0.44</v>
      </c>
      <c r="BL238" s="253">
        <v>0.44</v>
      </c>
      <c r="BM238" s="253">
        <v>0.44</v>
      </c>
      <c r="BN238" s="253">
        <v>0.44</v>
      </c>
      <c r="BO238" s="253">
        <v>0.44</v>
      </c>
      <c r="BP238" s="4"/>
    </row>
    <row r="239" spans="38:68" ht="19.149999999999999" x14ac:dyDescent="0.4">
      <c r="AL239" s="13"/>
      <c r="AM239" s="249"/>
      <c r="AN239" s="252">
        <f>AN220</f>
        <v>3.25</v>
      </c>
      <c r="AO239" s="251" t="s">
        <v>311</v>
      </c>
      <c r="AP239" s="252">
        <f>AP220</f>
        <v>2.4957156093432298</v>
      </c>
      <c r="AQ239" s="252">
        <f>AQ220</f>
        <v>2.4957156093432298</v>
      </c>
      <c r="AR239" s="252">
        <f>AR220</f>
        <v>2.4957156093432298</v>
      </c>
      <c r="AS239" s="252">
        <f t="shared" ref="AS239:BF239" si="163">$AN$239</f>
        <v>3.25</v>
      </c>
      <c r="AT239" s="252">
        <f t="shared" si="163"/>
        <v>3.25</v>
      </c>
      <c r="AU239" s="252">
        <f t="shared" si="163"/>
        <v>3.25</v>
      </c>
      <c r="AV239" s="252">
        <f t="shared" si="163"/>
        <v>3.25</v>
      </c>
      <c r="AW239" s="252">
        <f t="shared" si="163"/>
        <v>3.25</v>
      </c>
      <c r="AX239" s="252">
        <f t="shared" si="163"/>
        <v>3.25</v>
      </c>
      <c r="AY239" s="252">
        <f t="shared" si="163"/>
        <v>3.25</v>
      </c>
      <c r="AZ239" s="252">
        <f t="shared" si="163"/>
        <v>3.25</v>
      </c>
      <c r="BA239" s="252">
        <f t="shared" si="163"/>
        <v>3.25</v>
      </c>
      <c r="BB239" s="252">
        <f t="shared" si="163"/>
        <v>3.25</v>
      </c>
      <c r="BC239" s="252">
        <f t="shared" si="163"/>
        <v>3.25</v>
      </c>
      <c r="BD239" s="252">
        <f t="shared" si="163"/>
        <v>3.25</v>
      </c>
      <c r="BE239" s="252">
        <f t="shared" si="163"/>
        <v>3.25</v>
      </c>
      <c r="BF239" s="252">
        <f t="shared" si="163"/>
        <v>3.25</v>
      </c>
      <c r="BG239" s="252">
        <f>AP220</f>
        <v>2.4957156093432298</v>
      </c>
      <c r="BH239" s="252">
        <f>AQ220</f>
        <v>2.4957156093432298</v>
      </c>
      <c r="BI239" s="252">
        <f>AR220</f>
        <v>2.4957156093432298</v>
      </c>
      <c r="BJ239" s="252">
        <f t="shared" ref="BJ239:BO239" si="164">$AN$239</f>
        <v>3.25</v>
      </c>
      <c r="BK239" s="252">
        <f t="shared" si="164"/>
        <v>3.25</v>
      </c>
      <c r="BL239" s="252">
        <f t="shared" si="164"/>
        <v>3.25</v>
      </c>
      <c r="BM239" s="252">
        <f t="shared" si="164"/>
        <v>3.25</v>
      </c>
      <c r="BN239" s="252">
        <f t="shared" si="164"/>
        <v>3.25</v>
      </c>
      <c r="BO239" s="252">
        <f t="shared" si="164"/>
        <v>3.25</v>
      </c>
      <c r="BP239" s="4"/>
    </row>
    <row r="240" spans="38:68" ht="19.149999999999999" x14ac:dyDescent="0.4">
      <c r="AL240" s="13"/>
      <c r="AM240" s="254"/>
      <c r="AN240" s="255"/>
      <c r="AO240" s="256"/>
      <c r="AP240" s="255"/>
      <c r="AQ240" s="255"/>
      <c r="AR240" s="255"/>
      <c r="AS240" s="255"/>
      <c r="AT240" s="255"/>
      <c r="AU240" s="255"/>
      <c r="AV240" s="255"/>
      <c r="AW240" s="255"/>
      <c r="AX240" s="255"/>
      <c r="AY240" s="255"/>
      <c r="AZ240" s="255"/>
      <c r="BA240" s="255"/>
      <c r="BB240" s="255"/>
      <c r="BC240" s="255"/>
      <c r="BD240" s="255"/>
      <c r="BE240" s="255"/>
      <c r="BF240" s="255"/>
      <c r="BG240" s="255"/>
      <c r="BH240" s="255"/>
      <c r="BI240" s="255"/>
      <c r="BJ240" s="255"/>
      <c r="BK240" s="255"/>
      <c r="BL240" s="255"/>
      <c r="BM240" s="255"/>
      <c r="BN240" s="255"/>
      <c r="BO240" s="255"/>
      <c r="BP240" s="4"/>
    </row>
    <row r="241" spans="38:68" ht="19.149999999999999" x14ac:dyDescent="0.4">
      <c r="AL241" s="13"/>
      <c r="AM241" s="249"/>
      <c r="AN241" s="250">
        <f>337.27*AN242/AN243*AN244</f>
        <v>1.4056491507086191</v>
      </c>
      <c r="AO241" s="251" t="s">
        <v>312</v>
      </c>
      <c r="AP241" s="250">
        <f>337.27*AP242/AP243*AP244</f>
        <v>1.8502203256212981</v>
      </c>
      <c r="AQ241" s="250">
        <f t="shared" ref="AQ241:BO241" si="165">337.27*AQ242/AQ243*AQ244</f>
        <v>1.7630661550126321</v>
      </c>
      <c r="AR241" s="250">
        <f t="shared" si="165"/>
        <v>1.8812097633382212</v>
      </c>
      <c r="AS241" s="250">
        <f t="shared" si="165"/>
        <v>1.7356396617101786</v>
      </c>
      <c r="AT241" s="250">
        <f t="shared" si="165"/>
        <v>0.96547631059999461</v>
      </c>
      <c r="AU241" s="250">
        <f t="shared" si="165"/>
        <v>2.1350742603985124</v>
      </c>
      <c r="AV241" s="250">
        <f t="shared" si="165"/>
        <v>2.0323102947145193</v>
      </c>
      <c r="AW241" s="250">
        <f t="shared" si="165"/>
        <v>2.1716140781934339</v>
      </c>
      <c r="AX241" s="250">
        <f t="shared" si="165"/>
        <v>1.4521799325255917</v>
      </c>
      <c r="AY241" s="250">
        <f t="shared" si="165"/>
        <v>1.4521799325255917</v>
      </c>
      <c r="AZ241" s="250">
        <f t="shared" si="165"/>
        <v>1.4521799325255917</v>
      </c>
      <c r="BA241" s="250">
        <f t="shared" si="165"/>
        <v>1.4056491507086191</v>
      </c>
      <c r="BB241" s="250">
        <f t="shared" si="165"/>
        <v>1.4056491507086191</v>
      </c>
      <c r="BC241" s="250">
        <f t="shared" si="165"/>
        <v>1.4056491507086191</v>
      </c>
      <c r="BD241" s="250">
        <f t="shared" si="165"/>
        <v>1.4056491507086191</v>
      </c>
      <c r="BE241" s="250">
        <f t="shared" si="165"/>
        <v>1.4056491507086191</v>
      </c>
      <c r="BF241" s="250">
        <f t="shared" si="165"/>
        <v>1.4056491507086191</v>
      </c>
      <c r="BG241" s="250">
        <f t="shared" si="165"/>
        <v>1.4056491507086191</v>
      </c>
      <c r="BH241" s="250">
        <f t="shared" si="165"/>
        <v>1.4056491507086191</v>
      </c>
      <c r="BI241" s="250">
        <f t="shared" si="165"/>
        <v>1.4056491507086191</v>
      </c>
      <c r="BJ241" s="250">
        <f t="shared" si="165"/>
        <v>1.4056491507086191</v>
      </c>
      <c r="BK241" s="250">
        <f t="shared" si="165"/>
        <v>1.4056491507086191</v>
      </c>
      <c r="BL241" s="250">
        <f t="shared" si="165"/>
        <v>1.4056491507086191</v>
      </c>
      <c r="BM241" s="250">
        <f t="shared" si="165"/>
        <v>1.4056491507086191</v>
      </c>
      <c r="BN241" s="250">
        <f t="shared" si="165"/>
        <v>1.4056491507086191</v>
      </c>
      <c r="BO241" s="250">
        <f t="shared" si="165"/>
        <v>1.4056491507086191</v>
      </c>
      <c r="BP241" s="4"/>
    </row>
    <row r="242" spans="38:68" ht="19.149999999999999" x14ac:dyDescent="0.4">
      <c r="AL242" s="13"/>
      <c r="AM242" s="249"/>
      <c r="AN242" s="252">
        <f>AN215</f>
        <v>35.72</v>
      </c>
      <c r="AO242" s="251" t="s">
        <v>313</v>
      </c>
      <c r="AP242" s="252">
        <f>AP215</f>
        <v>24.534439335197003</v>
      </c>
      <c r="AQ242" s="252">
        <f>AQ215</f>
        <v>24.534439335197003</v>
      </c>
      <c r="AR242" s="252">
        <f>AR215</f>
        <v>24.534439335197003</v>
      </c>
      <c r="AS242" s="252">
        <f>$AN$242</f>
        <v>35.72</v>
      </c>
      <c r="AT242" s="252">
        <f>AP215</f>
        <v>24.534439335197003</v>
      </c>
      <c r="AU242" s="252">
        <f t="shared" ref="AU242:BO242" si="166">$AN$242</f>
        <v>35.72</v>
      </c>
      <c r="AV242" s="252">
        <f t="shared" si="166"/>
        <v>35.72</v>
      </c>
      <c r="AW242" s="252">
        <f t="shared" si="166"/>
        <v>35.72</v>
      </c>
      <c r="AX242" s="252">
        <f t="shared" si="166"/>
        <v>35.72</v>
      </c>
      <c r="AY242" s="252">
        <f t="shared" si="166"/>
        <v>35.72</v>
      </c>
      <c r="AZ242" s="252">
        <f t="shared" si="166"/>
        <v>35.72</v>
      </c>
      <c r="BA242" s="252">
        <f t="shared" si="166"/>
        <v>35.72</v>
      </c>
      <c r="BB242" s="252">
        <f t="shared" si="166"/>
        <v>35.72</v>
      </c>
      <c r="BC242" s="252">
        <f t="shared" si="166"/>
        <v>35.72</v>
      </c>
      <c r="BD242" s="252">
        <f t="shared" si="166"/>
        <v>35.72</v>
      </c>
      <c r="BE242" s="252">
        <f t="shared" si="166"/>
        <v>35.72</v>
      </c>
      <c r="BF242" s="252">
        <f t="shared" si="166"/>
        <v>35.72</v>
      </c>
      <c r="BG242" s="252">
        <f t="shared" si="166"/>
        <v>35.72</v>
      </c>
      <c r="BH242" s="252">
        <f t="shared" si="166"/>
        <v>35.72</v>
      </c>
      <c r="BI242" s="252">
        <f t="shared" si="166"/>
        <v>35.72</v>
      </c>
      <c r="BJ242" s="252">
        <f t="shared" si="166"/>
        <v>35.72</v>
      </c>
      <c r="BK242" s="252">
        <f t="shared" si="166"/>
        <v>35.72</v>
      </c>
      <c r="BL242" s="252">
        <f t="shared" si="166"/>
        <v>35.72</v>
      </c>
      <c r="BM242" s="252">
        <f t="shared" si="166"/>
        <v>35.72</v>
      </c>
      <c r="BN242" s="252">
        <f t="shared" si="166"/>
        <v>35.72</v>
      </c>
      <c r="BO242" s="252">
        <f t="shared" si="166"/>
        <v>35.72</v>
      </c>
      <c r="BP242" s="4"/>
    </row>
    <row r="243" spans="38:68" ht="19.149999999999999" x14ac:dyDescent="0.4">
      <c r="AL243" s="13"/>
      <c r="AM243" s="249"/>
      <c r="AN243" s="252">
        <f>AN213*4.1868</f>
        <v>16510.520195999998</v>
      </c>
      <c r="AO243" s="251" t="s">
        <v>314</v>
      </c>
      <c r="AP243" s="252">
        <f>AP213*4.1868</f>
        <v>13371.438325163273</v>
      </c>
      <c r="AQ243" s="252">
        <f>AQ213*4.1868</f>
        <v>13371.438325163273</v>
      </c>
      <c r="AR243" s="252">
        <f>AR213*4.1868</f>
        <v>13371.438325163273</v>
      </c>
      <c r="AS243" s="252">
        <f>AP213*4.1868</f>
        <v>13371.438325163273</v>
      </c>
      <c r="AT243" s="252">
        <f t="shared" ref="AT243:BO243" si="167">$AN$243</f>
        <v>16510.520195999998</v>
      </c>
      <c r="AU243" s="252">
        <f t="shared" si="167"/>
        <v>16510.520195999998</v>
      </c>
      <c r="AV243" s="252">
        <f t="shared" si="167"/>
        <v>16510.520195999998</v>
      </c>
      <c r="AW243" s="252">
        <f t="shared" si="167"/>
        <v>16510.520195999998</v>
      </c>
      <c r="AX243" s="252">
        <f t="shared" si="167"/>
        <v>16510.520195999998</v>
      </c>
      <c r="AY243" s="252">
        <f t="shared" si="167"/>
        <v>16510.520195999998</v>
      </c>
      <c r="AZ243" s="252">
        <f t="shared" si="167"/>
        <v>16510.520195999998</v>
      </c>
      <c r="BA243" s="252">
        <f t="shared" si="167"/>
        <v>16510.520195999998</v>
      </c>
      <c r="BB243" s="252">
        <f t="shared" si="167"/>
        <v>16510.520195999998</v>
      </c>
      <c r="BC243" s="252">
        <f t="shared" si="167"/>
        <v>16510.520195999998</v>
      </c>
      <c r="BD243" s="252">
        <f t="shared" si="167"/>
        <v>16510.520195999998</v>
      </c>
      <c r="BE243" s="252">
        <f t="shared" si="167"/>
        <v>16510.520195999998</v>
      </c>
      <c r="BF243" s="252">
        <f t="shared" si="167"/>
        <v>16510.520195999998</v>
      </c>
      <c r="BG243" s="252">
        <f t="shared" si="167"/>
        <v>16510.520195999998</v>
      </c>
      <c r="BH243" s="252">
        <f t="shared" si="167"/>
        <v>16510.520195999998</v>
      </c>
      <c r="BI243" s="252">
        <f t="shared" si="167"/>
        <v>16510.520195999998</v>
      </c>
      <c r="BJ243" s="252">
        <f t="shared" si="167"/>
        <v>16510.520195999998</v>
      </c>
      <c r="BK243" s="252">
        <f t="shared" si="167"/>
        <v>16510.520195999998</v>
      </c>
      <c r="BL243" s="252">
        <f t="shared" si="167"/>
        <v>16510.520195999998</v>
      </c>
      <c r="BM243" s="252">
        <f t="shared" si="167"/>
        <v>16510.520195999998</v>
      </c>
      <c r="BN243" s="252">
        <f t="shared" si="167"/>
        <v>16510.520195999998</v>
      </c>
      <c r="BO243" s="252">
        <f t="shared" si="167"/>
        <v>16510.520195999998</v>
      </c>
      <c r="BP243" s="4"/>
    </row>
    <row r="244" spans="38:68" ht="19.149999999999999" x14ac:dyDescent="0.4">
      <c r="AL244" s="13"/>
      <c r="AM244" s="249"/>
      <c r="AN244" s="250">
        <f>(AN245*AN247/(100-AN247)+AN246*AN248/(100-AN248))*100</f>
        <v>1.926409132606258</v>
      </c>
      <c r="AO244" s="251" t="s">
        <v>315</v>
      </c>
      <c r="AP244" s="250">
        <f>(AP245*AP247/(100-AP247)+AP246*AP248/(100-AP248))*100</f>
        <v>2.9898384493350383</v>
      </c>
      <c r="AQ244" s="250">
        <f t="shared" ref="AQ244:BO244" si="168">(AQ245*AQ247/(100-AQ247)+AQ246*AQ248/(100-AQ248))*100</f>
        <v>2.8490028490028485</v>
      </c>
      <c r="AR244" s="250">
        <f t="shared" si="168"/>
        <v>3.0399154110494315</v>
      </c>
      <c r="AS244" s="250">
        <f t="shared" si="168"/>
        <v>1.926409132606258</v>
      </c>
      <c r="AT244" s="250">
        <f t="shared" si="168"/>
        <v>1.926409132606258</v>
      </c>
      <c r="AU244" s="250">
        <f t="shared" si="168"/>
        <v>2.9260691061854076</v>
      </c>
      <c r="AV244" s="250">
        <f t="shared" si="168"/>
        <v>2.7852335058532178</v>
      </c>
      <c r="AW244" s="250">
        <f t="shared" si="168"/>
        <v>2.9761460678998009</v>
      </c>
      <c r="AX244" s="250">
        <f t="shared" si="168"/>
        <v>1.9901784757558889</v>
      </c>
      <c r="AY244" s="250">
        <f t="shared" si="168"/>
        <v>1.9901784757558889</v>
      </c>
      <c r="AZ244" s="250">
        <f t="shared" si="168"/>
        <v>1.9901784757558889</v>
      </c>
      <c r="BA244" s="250">
        <f t="shared" si="168"/>
        <v>1.926409132606258</v>
      </c>
      <c r="BB244" s="250">
        <f t="shared" si="168"/>
        <v>1.926409132606258</v>
      </c>
      <c r="BC244" s="250">
        <f t="shared" si="168"/>
        <v>1.926409132606258</v>
      </c>
      <c r="BD244" s="250">
        <f t="shared" si="168"/>
        <v>1.926409132606258</v>
      </c>
      <c r="BE244" s="250">
        <f t="shared" si="168"/>
        <v>1.926409132606258</v>
      </c>
      <c r="BF244" s="250">
        <f t="shared" si="168"/>
        <v>1.926409132606258</v>
      </c>
      <c r="BG244" s="250">
        <f t="shared" si="168"/>
        <v>1.926409132606258</v>
      </c>
      <c r="BH244" s="250">
        <f t="shared" si="168"/>
        <v>1.926409132606258</v>
      </c>
      <c r="BI244" s="250">
        <f t="shared" si="168"/>
        <v>1.926409132606258</v>
      </c>
      <c r="BJ244" s="250">
        <f t="shared" si="168"/>
        <v>1.926409132606258</v>
      </c>
      <c r="BK244" s="250">
        <f t="shared" si="168"/>
        <v>1.926409132606258</v>
      </c>
      <c r="BL244" s="250">
        <f t="shared" si="168"/>
        <v>1.926409132606258</v>
      </c>
      <c r="BM244" s="250">
        <f t="shared" si="168"/>
        <v>1.926409132606258</v>
      </c>
      <c r="BN244" s="250">
        <f t="shared" si="168"/>
        <v>1.926409132606258</v>
      </c>
      <c r="BO244" s="250">
        <f t="shared" si="168"/>
        <v>1.926409132606258</v>
      </c>
      <c r="BP244" s="4"/>
    </row>
    <row r="245" spans="38:68" ht="19.149999999999999" x14ac:dyDescent="0.4">
      <c r="AL245" s="13"/>
      <c r="AM245" s="249"/>
      <c r="AN245" s="253">
        <v>0.6</v>
      </c>
      <c r="AO245" s="251" t="s">
        <v>316</v>
      </c>
      <c r="AP245" s="253">
        <f>$C$43/100</f>
        <v>0.9</v>
      </c>
      <c r="AQ245" s="253">
        <f t="shared" ref="AQ245:BO245" si="169">$AP$245</f>
        <v>0.9</v>
      </c>
      <c r="AR245" s="253">
        <f t="shared" si="169"/>
        <v>0.9</v>
      </c>
      <c r="AS245" s="253">
        <f t="shared" si="169"/>
        <v>0.9</v>
      </c>
      <c r="AT245" s="253">
        <f t="shared" si="169"/>
        <v>0.9</v>
      </c>
      <c r="AU245" s="253">
        <f t="shared" si="169"/>
        <v>0.9</v>
      </c>
      <c r="AV245" s="253">
        <f t="shared" si="169"/>
        <v>0.9</v>
      </c>
      <c r="AW245" s="253">
        <f t="shared" si="169"/>
        <v>0.9</v>
      </c>
      <c r="AX245" s="253">
        <f t="shared" si="169"/>
        <v>0.9</v>
      </c>
      <c r="AY245" s="253">
        <f t="shared" si="169"/>
        <v>0.9</v>
      </c>
      <c r="AZ245" s="253">
        <f t="shared" si="169"/>
        <v>0.9</v>
      </c>
      <c r="BA245" s="253">
        <f t="shared" si="169"/>
        <v>0.9</v>
      </c>
      <c r="BB245" s="253">
        <f t="shared" si="169"/>
        <v>0.9</v>
      </c>
      <c r="BC245" s="253">
        <f t="shared" si="169"/>
        <v>0.9</v>
      </c>
      <c r="BD245" s="253">
        <f t="shared" si="169"/>
        <v>0.9</v>
      </c>
      <c r="BE245" s="253">
        <f t="shared" si="169"/>
        <v>0.9</v>
      </c>
      <c r="BF245" s="253">
        <f t="shared" si="169"/>
        <v>0.9</v>
      </c>
      <c r="BG245" s="253">
        <f t="shared" si="169"/>
        <v>0.9</v>
      </c>
      <c r="BH245" s="253">
        <f t="shared" si="169"/>
        <v>0.9</v>
      </c>
      <c r="BI245" s="253">
        <f t="shared" si="169"/>
        <v>0.9</v>
      </c>
      <c r="BJ245" s="253">
        <f t="shared" si="169"/>
        <v>0.9</v>
      </c>
      <c r="BK245" s="253">
        <f t="shared" si="169"/>
        <v>0.9</v>
      </c>
      <c r="BL245" s="253">
        <f t="shared" si="169"/>
        <v>0.9</v>
      </c>
      <c r="BM245" s="253">
        <f t="shared" si="169"/>
        <v>0.9</v>
      </c>
      <c r="BN245" s="253">
        <f t="shared" si="169"/>
        <v>0.9</v>
      </c>
      <c r="BO245" s="253">
        <f t="shared" si="169"/>
        <v>0.9</v>
      </c>
      <c r="BP245" s="4"/>
    </row>
    <row r="246" spans="38:68" ht="19.149999999999999" x14ac:dyDescent="0.4">
      <c r="AL246" s="13"/>
      <c r="AM246" s="249"/>
      <c r="AN246" s="253">
        <f>1-AN245</f>
        <v>0.4</v>
      </c>
      <c r="AO246" s="251" t="s">
        <v>317</v>
      </c>
      <c r="AP246" s="253">
        <f>1-AP245</f>
        <v>9.9999999999999978E-2</v>
      </c>
      <c r="AQ246" s="253">
        <f t="shared" ref="AQ246:BO246" si="170">$AP$246</f>
        <v>9.9999999999999978E-2</v>
      </c>
      <c r="AR246" s="253">
        <f t="shared" si="170"/>
        <v>9.9999999999999978E-2</v>
      </c>
      <c r="AS246" s="253">
        <f t="shared" si="170"/>
        <v>9.9999999999999978E-2</v>
      </c>
      <c r="AT246" s="253">
        <f t="shared" si="170"/>
        <v>9.9999999999999978E-2</v>
      </c>
      <c r="AU246" s="253">
        <f t="shared" si="170"/>
        <v>9.9999999999999978E-2</v>
      </c>
      <c r="AV246" s="253">
        <f t="shared" si="170"/>
        <v>9.9999999999999978E-2</v>
      </c>
      <c r="AW246" s="253">
        <f t="shared" si="170"/>
        <v>9.9999999999999978E-2</v>
      </c>
      <c r="AX246" s="253">
        <f t="shared" si="170"/>
        <v>9.9999999999999978E-2</v>
      </c>
      <c r="AY246" s="253">
        <f t="shared" si="170"/>
        <v>9.9999999999999978E-2</v>
      </c>
      <c r="AZ246" s="253">
        <f t="shared" si="170"/>
        <v>9.9999999999999978E-2</v>
      </c>
      <c r="BA246" s="253">
        <f t="shared" si="170"/>
        <v>9.9999999999999978E-2</v>
      </c>
      <c r="BB246" s="253">
        <f t="shared" si="170"/>
        <v>9.9999999999999978E-2</v>
      </c>
      <c r="BC246" s="253">
        <f t="shared" si="170"/>
        <v>9.9999999999999978E-2</v>
      </c>
      <c r="BD246" s="253">
        <f t="shared" si="170"/>
        <v>9.9999999999999978E-2</v>
      </c>
      <c r="BE246" s="253">
        <f t="shared" si="170"/>
        <v>9.9999999999999978E-2</v>
      </c>
      <c r="BF246" s="253">
        <f t="shared" si="170"/>
        <v>9.9999999999999978E-2</v>
      </c>
      <c r="BG246" s="253">
        <f t="shared" si="170"/>
        <v>9.9999999999999978E-2</v>
      </c>
      <c r="BH246" s="253">
        <f t="shared" si="170"/>
        <v>9.9999999999999978E-2</v>
      </c>
      <c r="BI246" s="253">
        <f t="shared" si="170"/>
        <v>9.9999999999999978E-2</v>
      </c>
      <c r="BJ246" s="253">
        <f t="shared" si="170"/>
        <v>9.9999999999999978E-2</v>
      </c>
      <c r="BK246" s="253">
        <f t="shared" si="170"/>
        <v>9.9999999999999978E-2</v>
      </c>
      <c r="BL246" s="253">
        <f t="shared" si="170"/>
        <v>9.9999999999999978E-2</v>
      </c>
      <c r="BM246" s="253">
        <f t="shared" si="170"/>
        <v>9.9999999999999978E-2</v>
      </c>
      <c r="BN246" s="253">
        <f t="shared" si="170"/>
        <v>9.9999999999999978E-2</v>
      </c>
      <c r="BO246" s="253">
        <f t="shared" si="170"/>
        <v>9.9999999999999978E-2</v>
      </c>
      <c r="BP246" s="4"/>
    </row>
    <row r="247" spans="38:68" ht="19.149999999999999" x14ac:dyDescent="0.4">
      <c r="AL247" s="13"/>
      <c r="AM247" s="249"/>
      <c r="AN247" s="252">
        <f>AN216</f>
        <v>1.89</v>
      </c>
      <c r="AO247" s="251" t="s">
        <v>318</v>
      </c>
      <c r="AP247" s="252">
        <f t="shared" ref="AP247:AR248" si="171">AP216</f>
        <v>2.9476190476190469</v>
      </c>
      <c r="AQ247" s="252">
        <f t="shared" si="171"/>
        <v>2.7999999999999994</v>
      </c>
      <c r="AR247" s="252">
        <f t="shared" si="171"/>
        <v>2.9999999999999996</v>
      </c>
      <c r="AS247" s="252">
        <f>$AN$247</f>
        <v>1.89</v>
      </c>
      <c r="AT247" s="252">
        <f>$AN$247</f>
        <v>1.89</v>
      </c>
      <c r="AU247" s="252">
        <f>AP216</f>
        <v>2.9476190476190469</v>
      </c>
      <c r="AV247" s="252">
        <f>AQ216</f>
        <v>2.7999999999999994</v>
      </c>
      <c r="AW247" s="252">
        <f>AR216</f>
        <v>2.9999999999999996</v>
      </c>
      <c r="AX247" s="252">
        <f t="shared" ref="AX247:BO247" si="172">$AN$247</f>
        <v>1.89</v>
      </c>
      <c r="AY247" s="252">
        <f t="shared" si="172"/>
        <v>1.89</v>
      </c>
      <c r="AZ247" s="252">
        <f t="shared" si="172"/>
        <v>1.89</v>
      </c>
      <c r="BA247" s="252">
        <f t="shared" si="172"/>
        <v>1.89</v>
      </c>
      <c r="BB247" s="252">
        <f t="shared" si="172"/>
        <v>1.89</v>
      </c>
      <c r="BC247" s="252">
        <f t="shared" si="172"/>
        <v>1.89</v>
      </c>
      <c r="BD247" s="252">
        <f t="shared" si="172"/>
        <v>1.89</v>
      </c>
      <c r="BE247" s="252">
        <f t="shared" si="172"/>
        <v>1.89</v>
      </c>
      <c r="BF247" s="252">
        <f t="shared" si="172"/>
        <v>1.89</v>
      </c>
      <c r="BG247" s="252">
        <f t="shared" si="172"/>
        <v>1.89</v>
      </c>
      <c r="BH247" s="252">
        <f t="shared" si="172"/>
        <v>1.89</v>
      </c>
      <c r="BI247" s="252">
        <f t="shared" si="172"/>
        <v>1.89</v>
      </c>
      <c r="BJ247" s="252">
        <f t="shared" si="172"/>
        <v>1.89</v>
      </c>
      <c r="BK247" s="252">
        <f t="shared" si="172"/>
        <v>1.89</v>
      </c>
      <c r="BL247" s="252">
        <f t="shared" si="172"/>
        <v>1.89</v>
      </c>
      <c r="BM247" s="252">
        <f t="shared" si="172"/>
        <v>1.89</v>
      </c>
      <c r="BN247" s="252">
        <f t="shared" si="172"/>
        <v>1.89</v>
      </c>
      <c r="BO247" s="252">
        <f t="shared" si="172"/>
        <v>1.89</v>
      </c>
      <c r="BP247" s="4"/>
    </row>
    <row r="248" spans="38:68" ht="19.149999999999999" x14ac:dyDescent="0.4">
      <c r="AL248" s="13"/>
      <c r="AM248" s="249"/>
      <c r="AN248" s="252">
        <f>AN217</f>
        <v>1.89</v>
      </c>
      <c r="AO248" s="251" t="s">
        <v>319</v>
      </c>
      <c r="AP248" s="252">
        <f t="shared" si="171"/>
        <v>2.5000000000000004</v>
      </c>
      <c r="AQ248" s="252">
        <f t="shared" si="171"/>
        <v>2.5000000000000004</v>
      </c>
      <c r="AR248" s="252">
        <f t="shared" si="171"/>
        <v>2.5000000000000004</v>
      </c>
      <c r="AS248" s="252">
        <f>$AN$248</f>
        <v>1.89</v>
      </c>
      <c r="AT248" s="252">
        <f>$AN$248</f>
        <v>1.89</v>
      </c>
      <c r="AU248" s="252">
        <f>$AN$248</f>
        <v>1.89</v>
      </c>
      <c r="AV248" s="252">
        <f>$AN$248</f>
        <v>1.89</v>
      </c>
      <c r="AW248" s="252">
        <f>$AN$248</f>
        <v>1.89</v>
      </c>
      <c r="AX248" s="252">
        <f>AP217</f>
        <v>2.5000000000000004</v>
      </c>
      <c r="AY248" s="252">
        <f>AQ217</f>
        <v>2.5000000000000004</v>
      </c>
      <c r="AZ248" s="252">
        <f>AR217</f>
        <v>2.5000000000000004</v>
      </c>
      <c r="BA248" s="252">
        <f t="shared" ref="BA248:BO248" si="173">$AN$248</f>
        <v>1.89</v>
      </c>
      <c r="BB248" s="252">
        <f t="shared" si="173"/>
        <v>1.89</v>
      </c>
      <c r="BC248" s="252">
        <f t="shared" si="173"/>
        <v>1.89</v>
      </c>
      <c r="BD248" s="252">
        <f t="shared" si="173"/>
        <v>1.89</v>
      </c>
      <c r="BE248" s="252">
        <f t="shared" si="173"/>
        <v>1.89</v>
      </c>
      <c r="BF248" s="252">
        <f t="shared" si="173"/>
        <v>1.89</v>
      </c>
      <c r="BG248" s="252">
        <f t="shared" si="173"/>
        <v>1.89</v>
      </c>
      <c r="BH248" s="252">
        <f t="shared" si="173"/>
        <v>1.89</v>
      </c>
      <c r="BI248" s="252">
        <f t="shared" si="173"/>
        <v>1.89</v>
      </c>
      <c r="BJ248" s="252">
        <f t="shared" si="173"/>
        <v>1.89</v>
      </c>
      <c r="BK248" s="252">
        <f t="shared" si="173"/>
        <v>1.89</v>
      </c>
      <c r="BL248" s="252">
        <f t="shared" si="173"/>
        <v>1.89</v>
      </c>
      <c r="BM248" s="252">
        <f t="shared" si="173"/>
        <v>1.89</v>
      </c>
      <c r="BN248" s="252">
        <f t="shared" si="173"/>
        <v>1.89</v>
      </c>
      <c r="BO248" s="252">
        <f t="shared" si="173"/>
        <v>1.89</v>
      </c>
      <c r="BP248" s="4"/>
    </row>
    <row r="249" spans="38:68" ht="19.149999999999999" x14ac:dyDescent="0.4">
      <c r="AL249" s="13"/>
      <c r="AM249" s="254"/>
      <c r="AN249" s="255"/>
      <c r="AO249" s="256"/>
      <c r="AP249" s="255"/>
      <c r="AQ249" s="255"/>
      <c r="AR249" s="255"/>
      <c r="AS249" s="255"/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255"/>
      <c r="BH249" s="255"/>
      <c r="BI249" s="255"/>
      <c r="BJ249" s="255"/>
      <c r="BK249" s="255"/>
      <c r="BL249" s="255"/>
      <c r="BM249" s="255"/>
      <c r="BN249" s="255"/>
      <c r="BO249" s="255"/>
      <c r="BP249" s="4"/>
    </row>
    <row r="250" spans="38:68" ht="19.149999999999999" x14ac:dyDescent="0.4">
      <c r="AL250" s="13"/>
      <c r="AM250" s="249"/>
      <c r="AN250" s="250">
        <f>5.82*POWER(AN251,-0.38)*AN251/AN252</f>
        <v>0.39142469890346998</v>
      </c>
      <c r="AO250" s="251" t="s">
        <v>320</v>
      </c>
      <c r="AP250" s="250">
        <f>5.82*POWER(AP251,-0.38)*AP251/AP252</f>
        <v>0.39534939627010818</v>
      </c>
      <c r="AQ250" s="250">
        <f t="shared" ref="AQ250:BO250" si="174">5.82*POWER(AQ251,-0.38)*AQ251/AQ252</f>
        <v>0.39174685914948104</v>
      </c>
      <c r="AR250" s="250">
        <f t="shared" si="174"/>
        <v>0.3966436948888496</v>
      </c>
      <c r="AS250" s="250">
        <f t="shared" si="174"/>
        <v>0.39142469890346998</v>
      </c>
      <c r="AT250" s="250">
        <f t="shared" si="174"/>
        <v>0.39142469890346998</v>
      </c>
      <c r="AU250" s="250">
        <f t="shared" si="174"/>
        <v>0.39142469890346998</v>
      </c>
      <c r="AV250" s="250">
        <f t="shared" si="174"/>
        <v>0.39142469890346998</v>
      </c>
      <c r="AW250" s="250">
        <f t="shared" si="174"/>
        <v>0.39142469890346998</v>
      </c>
      <c r="AX250" s="250">
        <f t="shared" si="174"/>
        <v>0.39142469890346998</v>
      </c>
      <c r="AY250" s="250">
        <f t="shared" si="174"/>
        <v>0.39142469890346998</v>
      </c>
      <c r="AZ250" s="250">
        <f t="shared" si="174"/>
        <v>0.39142469890346998</v>
      </c>
      <c r="BA250" s="250">
        <f t="shared" si="174"/>
        <v>0.39142469890346998</v>
      </c>
      <c r="BB250" s="250">
        <f t="shared" si="174"/>
        <v>0.39142469890346998</v>
      </c>
      <c r="BC250" s="250">
        <f t="shared" si="174"/>
        <v>0.39142469890346998</v>
      </c>
      <c r="BD250" s="250">
        <f t="shared" si="174"/>
        <v>0.39142469890346998</v>
      </c>
      <c r="BE250" s="250">
        <f t="shared" si="174"/>
        <v>0.39142469890346998</v>
      </c>
      <c r="BF250" s="250">
        <f t="shared" si="174"/>
        <v>0.39142469890346998</v>
      </c>
      <c r="BG250" s="250">
        <f t="shared" si="174"/>
        <v>0.39142469890346998</v>
      </c>
      <c r="BH250" s="250">
        <f t="shared" si="174"/>
        <v>0.39142469890346998</v>
      </c>
      <c r="BI250" s="250">
        <f t="shared" si="174"/>
        <v>0.39142469890346998</v>
      </c>
      <c r="BJ250" s="250">
        <f t="shared" si="174"/>
        <v>0.39534939627010818</v>
      </c>
      <c r="BK250" s="250">
        <f t="shared" si="174"/>
        <v>0.39174685914948104</v>
      </c>
      <c r="BL250" s="250">
        <f t="shared" si="174"/>
        <v>0.3966436948888496</v>
      </c>
      <c r="BM250" s="250">
        <f t="shared" si="174"/>
        <v>0.39142469890346998</v>
      </c>
      <c r="BN250" s="250">
        <f t="shared" si="174"/>
        <v>0.39142469890346998</v>
      </c>
      <c r="BO250" s="250">
        <f t="shared" si="174"/>
        <v>0.39142469890346998</v>
      </c>
      <c r="BP250" s="4"/>
    </row>
    <row r="251" spans="38:68" ht="19.149999999999999" x14ac:dyDescent="0.4">
      <c r="AL251" s="13"/>
      <c r="AM251" s="249"/>
      <c r="AN251" s="253">
        <f>$AN$222</f>
        <v>1216</v>
      </c>
      <c r="AO251" s="251" t="s">
        <v>321</v>
      </c>
      <c r="AP251" s="253">
        <f t="shared" ref="AP251:BO251" si="175">$AN$222</f>
        <v>1216</v>
      </c>
      <c r="AQ251" s="253">
        <f t="shared" si="175"/>
        <v>1216</v>
      </c>
      <c r="AR251" s="253">
        <f t="shared" si="175"/>
        <v>1216</v>
      </c>
      <c r="AS251" s="253">
        <f t="shared" si="175"/>
        <v>1216</v>
      </c>
      <c r="AT251" s="253">
        <f t="shared" si="175"/>
        <v>1216</v>
      </c>
      <c r="AU251" s="253">
        <f t="shared" si="175"/>
        <v>1216</v>
      </c>
      <c r="AV251" s="253">
        <f t="shared" si="175"/>
        <v>1216</v>
      </c>
      <c r="AW251" s="253">
        <f t="shared" si="175"/>
        <v>1216</v>
      </c>
      <c r="AX251" s="253">
        <f t="shared" si="175"/>
        <v>1216</v>
      </c>
      <c r="AY251" s="253">
        <f t="shared" si="175"/>
        <v>1216</v>
      </c>
      <c r="AZ251" s="253">
        <f t="shared" si="175"/>
        <v>1216</v>
      </c>
      <c r="BA251" s="253">
        <f t="shared" si="175"/>
        <v>1216</v>
      </c>
      <c r="BB251" s="253">
        <f t="shared" si="175"/>
        <v>1216</v>
      </c>
      <c r="BC251" s="253">
        <f t="shared" si="175"/>
        <v>1216</v>
      </c>
      <c r="BD251" s="253">
        <f t="shared" si="175"/>
        <v>1216</v>
      </c>
      <c r="BE251" s="253">
        <f t="shared" si="175"/>
        <v>1216</v>
      </c>
      <c r="BF251" s="253">
        <f t="shared" si="175"/>
        <v>1216</v>
      </c>
      <c r="BG251" s="253">
        <f t="shared" si="175"/>
        <v>1216</v>
      </c>
      <c r="BH251" s="253">
        <f t="shared" si="175"/>
        <v>1216</v>
      </c>
      <c r="BI251" s="253">
        <f t="shared" si="175"/>
        <v>1216</v>
      </c>
      <c r="BJ251" s="253">
        <f t="shared" si="175"/>
        <v>1216</v>
      </c>
      <c r="BK251" s="253">
        <f t="shared" si="175"/>
        <v>1216</v>
      </c>
      <c r="BL251" s="253">
        <f t="shared" si="175"/>
        <v>1216</v>
      </c>
      <c r="BM251" s="253">
        <f t="shared" si="175"/>
        <v>1216</v>
      </c>
      <c r="BN251" s="253">
        <f t="shared" si="175"/>
        <v>1216</v>
      </c>
      <c r="BO251" s="253">
        <f t="shared" si="175"/>
        <v>1216</v>
      </c>
      <c r="BP251" s="4"/>
    </row>
    <row r="252" spans="38:68" ht="19.149999999999999" x14ac:dyDescent="0.4">
      <c r="AL252" s="13"/>
      <c r="AM252" s="249"/>
      <c r="AN252" s="252">
        <f>AN222</f>
        <v>1216</v>
      </c>
      <c r="AO252" s="251" t="s">
        <v>322</v>
      </c>
      <c r="AP252" s="252">
        <f>AP222</f>
        <v>1203.9285714285713</v>
      </c>
      <c r="AQ252" s="252">
        <f>AQ222</f>
        <v>1215</v>
      </c>
      <c r="AR252" s="252">
        <f>AR222</f>
        <v>1200</v>
      </c>
      <c r="AS252" s="252">
        <f t="shared" ref="AS252:BI252" si="176">$AN$252</f>
        <v>1216</v>
      </c>
      <c r="AT252" s="252">
        <f t="shared" si="176"/>
        <v>1216</v>
      </c>
      <c r="AU252" s="252">
        <f t="shared" si="176"/>
        <v>1216</v>
      </c>
      <c r="AV252" s="252">
        <f t="shared" si="176"/>
        <v>1216</v>
      </c>
      <c r="AW252" s="252">
        <f t="shared" si="176"/>
        <v>1216</v>
      </c>
      <c r="AX252" s="252">
        <f t="shared" si="176"/>
        <v>1216</v>
      </c>
      <c r="AY252" s="252">
        <f t="shared" si="176"/>
        <v>1216</v>
      </c>
      <c r="AZ252" s="252">
        <f t="shared" si="176"/>
        <v>1216</v>
      </c>
      <c r="BA252" s="252">
        <f t="shared" si="176"/>
        <v>1216</v>
      </c>
      <c r="BB252" s="252">
        <f t="shared" si="176"/>
        <v>1216</v>
      </c>
      <c r="BC252" s="252">
        <f t="shared" si="176"/>
        <v>1216</v>
      </c>
      <c r="BD252" s="252">
        <f t="shared" si="176"/>
        <v>1216</v>
      </c>
      <c r="BE252" s="252">
        <f t="shared" si="176"/>
        <v>1216</v>
      </c>
      <c r="BF252" s="252">
        <f t="shared" si="176"/>
        <v>1216</v>
      </c>
      <c r="BG252" s="252">
        <f t="shared" si="176"/>
        <v>1216</v>
      </c>
      <c r="BH252" s="252">
        <f t="shared" si="176"/>
        <v>1216</v>
      </c>
      <c r="BI252" s="252">
        <f t="shared" si="176"/>
        <v>1216</v>
      </c>
      <c r="BJ252" s="252">
        <f>AP222</f>
        <v>1203.9285714285713</v>
      </c>
      <c r="BK252" s="252">
        <f>AQ222</f>
        <v>1215</v>
      </c>
      <c r="BL252" s="252">
        <f>AR222</f>
        <v>1200</v>
      </c>
      <c r="BM252" s="252">
        <f>$AN$252</f>
        <v>1216</v>
      </c>
      <c r="BN252" s="252">
        <f>$AN$252</f>
        <v>1216</v>
      </c>
      <c r="BO252" s="252">
        <f>$AN$252</f>
        <v>1216</v>
      </c>
      <c r="BP252" s="4"/>
    </row>
    <row r="253" spans="38:68" ht="19.149999999999999" x14ac:dyDescent="0.4">
      <c r="AL253" s="13"/>
      <c r="AM253" s="257"/>
      <c r="AN253" s="255"/>
      <c r="AO253" s="258"/>
      <c r="AP253" s="255"/>
      <c r="AQ253" s="255"/>
      <c r="AR253" s="255"/>
      <c r="AS253" s="255"/>
      <c r="AT253" s="255"/>
      <c r="AU253" s="255"/>
      <c r="AV253" s="255"/>
      <c r="AW253" s="255"/>
      <c r="AX253" s="255"/>
      <c r="AY253" s="255"/>
      <c r="AZ253" s="255"/>
      <c r="BA253" s="255"/>
      <c r="BB253" s="255"/>
      <c r="BC253" s="255"/>
      <c r="BD253" s="255"/>
      <c r="BE253" s="255"/>
      <c r="BF253" s="255"/>
      <c r="BG253" s="255"/>
      <c r="BH253" s="255"/>
      <c r="BI253" s="255"/>
      <c r="BJ253" s="255"/>
      <c r="BK253" s="255"/>
      <c r="BL253" s="255"/>
      <c r="BM253" s="255"/>
      <c r="BN253" s="255"/>
      <c r="BO253" s="255"/>
      <c r="BP253" s="4"/>
    </row>
    <row r="254" spans="38:68" ht="19.149999999999999" x14ac:dyDescent="0.4">
      <c r="AL254" s="13"/>
      <c r="AM254" s="249"/>
      <c r="AN254" s="250">
        <f>100*AN260/AN261*(AN265*(AN257-AN258)*AN256/(100-AN263)+AN264*(AN259-AN258)*AN255/(100-AN262))</f>
        <v>0.72875676565504965</v>
      </c>
      <c r="AO254" s="251" t="s">
        <v>323</v>
      </c>
      <c r="AP254" s="250">
        <f>100*AP260/AP261*(AP265*(AP257-AP258)*AP256/(100-AP263)+AP264*(AP259-AP258)*AP255/(100-AP262))</f>
        <v>0.25095846159577762</v>
      </c>
      <c r="AQ254" s="250">
        <f t="shared" ref="AQ254:BO254" si="177">100*AQ260/AQ261*(AQ265*(AQ257-AQ258)*AQ256/(100-AQ263)+AQ264*(AQ259-AQ258)*AQ255/(100-AQ262))</f>
        <v>0.25251951106197223</v>
      </c>
      <c r="AR254" s="250">
        <f t="shared" si="177"/>
        <v>0.2504042523519307</v>
      </c>
      <c r="AS254" s="250">
        <f t="shared" si="177"/>
        <v>0.36684648212893411</v>
      </c>
      <c r="AT254" s="250">
        <f t="shared" si="177"/>
        <v>0.20406400933097155</v>
      </c>
      <c r="AU254" s="250">
        <f t="shared" si="177"/>
        <v>0.29860203489662324</v>
      </c>
      <c r="AV254" s="250">
        <f t="shared" si="177"/>
        <v>0.29839033387560965</v>
      </c>
      <c r="AW254" s="250">
        <f t="shared" si="177"/>
        <v>0.29867730949977173</v>
      </c>
      <c r="AX254" s="250">
        <f t="shared" si="177"/>
        <v>0.29809543298228053</v>
      </c>
      <c r="AY254" s="250">
        <f t="shared" si="177"/>
        <v>0.29809543298228053</v>
      </c>
      <c r="AZ254" s="250">
        <f t="shared" si="177"/>
        <v>0.29809543298228053</v>
      </c>
      <c r="BA254" s="250">
        <f t="shared" si="177"/>
        <v>0.29538464589606467</v>
      </c>
      <c r="BB254" s="250">
        <f t="shared" si="177"/>
        <v>0.29604910059416195</v>
      </c>
      <c r="BC254" s="250">
        <f t="shared" si="177"/>
        <v>0.29514887164835274</v>
      </c>
      <c r="BD254" s="250">
        <f t="shared" si="177"/>
        <v>0.29467811700561486</v>
      </c>
      <c r="BE254" s="250">
        <f t="shared" si="177"/>
        <v>0.29467811700561486</v>
      </c>
      <c r="BF254" s="250">
        <f t="shared" si="177"/>
        <v>0.29467811700561486</v>
      </c>
      <c r="BG254" s="250">
        <f t="shared" si="177"/>
        <v>0.29709936769760603</v>
      </c>
      <c r="BH254" s="250">
        <f t="shared" si="177"/>
        <v>0.29709936769760603</v>
      </c>
      <c r="BI254" s="250">
        <f t="shared" si="177"/>
        <v>0.29709936769760603</v>
      </c>
      <c r="BJ254" s="250">
        <f t="shared" si="177"/>
        <v>0.29709936769760603</v>
      </c>
      <c r="BK254" s="250">
        <f t="shared" si="177"/>
        <v>0.29709936769760603</v>
      </c>
      <c r="BL254" s="250">
        <f t="shared" si="177"/>
        <v>0.29709936769760603</v>
      </c>
      <c r="BM254" s="250">
        <f t="shared" si="177"/>
        <v>0.29758449989454416</v>
      </c>
      <c r="BN254" s="250">
        <f t="shared" si="177"/>
        <v>0.29895169063136973</v>
      </c>
      <c r="BO254" s="250">
        <f t="shared" si="177"/>
        <v>0.29709936769760603</v>
      </c>
      <c r="BP254" s="4"/>
    </row>
    <row r="255" spans="38:68" ht="19.149999999999999" x14ac:dyDescent="0.4">
      <c r="AL255" s="13"/>
      <c r="AM255" s="249"/>
      <c r="AN255" s="253">
        <v>0.72</v>
      </c>
      <c r="AO255" s="251" t="s">
        <v>324</v>
      </c>
      <c r="AP255" s="253">
        <v>0.72</v>
      </c>
      <c r="AQ255" s="253">
        <v>0.72</v>
      </c>
      <c r="AR255" s="253">
        <v>0.72</v>
      </c>
      <c r="AS255" s="253">
        <v>0.72</v>
      </c>
      <c r="AT255" s="253">
        <v>0.72</v>
      </c>
      <c r="AU255" s="253">
        <v>0.72</v>
      </c>
      <c r="AV255" s="253">
        <v>0.72</v>
      </c>
      <c r="AW255" s="253">
        <v>0.72</v>
      </c>
      <c r="AX255" s="253">
        <v>0.72</v>
      </c>
      <c r="AY255" s="253">
        <v>0.72</v>
      </c>
      <c r="AZ255" s="253">
        <v>0.72</v>
      </c>
      <c r="BA255" s="253">
        <v>0.72</v>
      </c>
      <c r="BB255" s="253">
        <v>0.72</v>
      </c>
      <c r="BC255" s="253">
        <v>0.72</v>
      </c>
      <c r="BD255" s="253">
        <v>0.72</v>
      </c>
      <c r="BE255" s="253">
        <v>0.72</v>
      </c>
      <c r="BF255" s="253">
        <v>0.72</v>
      </c>
      <c r="BG255" s="253">
        <v>0.72</v>
      </c>
      <c r="BH255" s="253">
        <v>0.72</v>
      </c>
      <c r="BI255" s="253">
        <v>0.72</v>
      </c>
      <c r="BJ255" s="253">
        <v>0.72</v>
      </c>
      <c r="BK255" s="253">
        <v>0.72</v>
      </c>
      <c r="BL255" s="253">
        <v>0.72</v>
      </c>
      <c r="BM255" s="253">
        <v>0.72</v>
      </c>
      <c r="BN255" s="253">
        <v>0.72</v>
      </c>
      <c r="BO255" s="253">
        <v>0.72</v>
      </c>
      <c r="BP255" s="4"/>
    </row>
    <row r="256" spans="38:68" ht="19.149999999999999" x14ac:dyDescent="0.4">
      <c r="AL256" s="13"/>
      <c r="AM256" s="249"/>
      <c r="AN256" s="253">
        <v>0.84</v>
      </c>
      <c r="AO256" s="251" t="s">
        <v>325</v>
      </c>
      <c r="AP256" s="253">
        <v>0.84</v>
      </c>
      <c r="AQ256" s="253">
        <v>0.84</v>
      </c>
      <c r="AR256" s="253">
        <v>0.84</v>
      </c>
      <c r="AS256" s="253">
        <v>0.84</v>
      </c>
      <c r="AT256" s="253">
        <v>0.84</v>
      </c>
      <c r="AU256" s="253">
        <v>0.84</v>
      </c>
      <c r="AV256" s="253">
        <v>0.84</v>
      </c>
      <c r="AW256" s="253">
        <v>0.84</v>
      </c>
      <c r="AX256" s="253">
        <v>0.84</v>
      </c>
      <c r="AY256" s="253">
        <v>0.84</v>
      </c>
      <c r="AZ256" s="253">
        <v>0.84</v>
      </c>
      <c r="BA256" s="253">
        <v>0.84</v>
      </c>
      <c r="BB256" s="253">
        <v>0.84</v>
      </c>
      <c r="BC256" s="253">
        <v>0.84</v>
      </c>
      <c r="BD256" s="253">
        <v>0.84</v>
      </c>
      <c r="BE256" s="253">
        <v>0.84</v>
      </c>
      <c r="BF256" s="253">
        <v>0.84</v>
      </c>
      <c r="BG256" s="253">
        <v>0.84</v>
      </c>
      <c r="BH256" s="253">
        <v>0.84</v>
      </c>
      <c r="BI256" s="253">
        <v>0.84</v>
      </c>
      <c r="BJ256" s="253">
        <v>0.84</v>
      </c>
      <c r="BK256" s="253">
        <v>0.84</v>
      </c>
      <c r="BL256" s="253">
        <v>0.84</v>
      </c>
      <c r="BM256" s="253">
        <v>0.84</v>
      </c>
      <c r="BN256" s="253">
        <v>0.84</v>
      </c>
      <c r="BO256" s="253">
        <v>0.84</v>
      </c>
      <c r="BP256" s="4"/>
    </row>
    <row r="257" spans="38:68" ht="19.149999999999999" x14ac:dyDescent="0.4">
      <c r="AL257" s="13"/>
      <c r="AM257" s="249"/>
      <c r="AN257" s="252">
        <f>AN223</f>
        <v>890</v>
      </c>
      <c r="AO257" s="251" t="s">
        <v>326</v>
      </c>
      <c r="AP257" s="252">
        <f>AP223</f>
        <v>892.61904761904759</v>
      </c>
      <c r="AQ257" s="252">
        <f>AQ223</f>
        <v>900</v>
      </c>
      <c r="AR257" s="252">
        <f>AR223</f>
        <v>890</v>
      </c>
      <c r="AS257" s="252">
        <f t="shared" ref="AS257:BL257" si="178">$AN$257</f>
        <v>890</v>
      </c>
      <c r="AT257" s="252">
        <f t="shared" si="178"/>
        <v>890</v>
      </c>
      <c r="AU257" s="252">
        <f t="shared" si="178"/>
        <v>890</v>
      </c>
      <c r="AV257" s="252">
        <f t="shared" si="178"/>
        <v>890</v>
      </c>
      <c r="AW257" s="252">
        <f t="shared" si="178"/>
        <v>890</v>
      </c>
      <c r="AX257" s="252">
        <f t="shared" si="178"/>
        <v>890</v>
      </c>
      <c r="AY257" s="252">
        <f t="shared" si="178"/>
        <v>890</v>
      </c>
      <c r="AZ257" s="252">
        <f t="shared" si="178"/>
        <v>890</v>
      </c>
      <c r="BA257" s="252">
        <f t="shared" si="178"/>
        <v>890</v>
      </c>
      <c r="BB257" s="252">
        <f t="shared" si="178"/>
        <v>890</v>
      </c>
      <c r="BC257" s="252">
        <f t="shared" si="178"/>
        <v>890</v>
      </c>
      <c r="BD257" s="252">
        <f t="shared" si="178"/>
        <v>890</v>
      </c>
      <c r="BE257" s="252">
        <f t="shared" si="178"/>
        <v>890</v>
      </c>
      <c r="BF257" s="252">
        <f t="shared" si="178"/>
        <v>890</v>
      </c>
      <c r="BG257" s="252">
        <f t="shared" si="178"/>
        <v>890</v>
      </c>
      <c r="BH257" s="252">
        <f t="shared" si="178"/>
        <v>890</v>
      </c>
      <c r="BI257" s="252">
        <f t="shared" si="178"/>
        <v>890</v>
      </c>
      <c r="BJ257" s="252">
        <f t="shared" si="178"/>
        <v>890</v>
      </c>
      <c r="BK257" s="252">
        <f t="shared" si="178"/>
        <v>890</v>
      </c>
      <c r="BL257" s="252">
        <f t="shared" si="178"/>
        <v>890</v>
      </c>
      <c r="BM257" s="252">
        <f>AP223</f>
        <v>892.61904761904759</v>
      </c>
      <c r="BN257" s="252">
        <f>AQ223</f>
        <v>900</v>
      </c>
      <c r="BO257" s="252">
        <f>AR223</f>
        <v>890</v>
      </c>
      <c r="BP257" s="4"/>
    </row>
    <row r="258" spans="38:68" ht="19.149999999999999" x14ac:dyDescent="0.4">
      <c r="AL258" s="13"/>
      <c r="AM258" s="249"/>
      <c r="AN258" s="250">
        <f>AN236</f>
        <v>30.5</v>
      </c>
      <c r="AO258" s="251" t="s">
        <v>327</v>
      </c>
      <c r="AP258" s="250">
        <f>AP236</f>
        <v>32</v>
      </c>
      <c r="AQ258" s="250">
        <f t="shared" ref="AQ258:BO258" si="179">AQ236</f>
        <v>32</v>
      </c>
      <c r="AR258" s="250">
        <f t="shared" si="179"/>
        <v>32</v>
      </c>
      <c r="AS258" s="250">
        <f t="shared" si="179"/>
        <v>30.5</v>
      </c>
      <c r="AT258" s="250">
        <f t="shared" si="179"/>
        <v>30.5</v>
      </c>
      <c r="AU258" s="250">
        <f t="shared" si="179"/>
        <v>30.5</v>
      </c>
      <c r="AV258" s="250">
        <f t="shared" si="179"/>
        <v>30.5</v>
      </c>
      <c r="AW258" s="250">
        <f t="shared" si="179"/>
        <v>30.5</v>
      </c>
      <c r="AX258" s="250">
        <f t="shared" si="179"/>
        <v>30.5</v>
      </c>
      <c r="AY258" s="250">
        <f t="shared" si="179"/>
        <v>30.5</v>
      </c>
      <c r="AZ258" s="250">
        <f t="shared" si="179"/>
        <v>30.5</v>
      </c>
      <c r="BA258" s="250">
        <f t="shared" si="179"/>
        <v>30.5</v>
      </c>
      <c r="BB258" s="250">
        <f t="shared" si="179"/>
        <v>30.5</v>
      </c>
      <c r="BC258" s="250">
        <f t="shared" si="179"/>
        <v>30.5</v>
      </c>
      <c r="BD258" s="250">
        <f t="shared" si="179"/>
        <v>32</v>
      </c>
      <c r="BE258" s="250">
        <f t="shared" si="179"/>
        <v>32</v>
      </c>
      <c r="BF258" s="250">
        <f t="shared" si="179"/>
        <v>32</v>
      </c>
      <c r="BG258" s="250">
        <f t="shared" si="179"/>
        <v>30.5</v>
      </c>
      <c r="BH258" s="250">
        <f t="shared" si="179"/>
        <v>30.5</v>
      </c>
      <c r="BI258" s="250">
        <f t="shared" si="179"/>
        <v>30.5</v>
      </c>
      <c r="BJ258" s="250">
        <f t="shared" si="179"/>
        <v>30.5</v>
      </c>
      <c r="BK258" s="250">
        <f t="shared" si="179"/>
        <v>30.5</v>
      </c>
      <c r="BL258" s="250">
        <f t="shared" si="179"/>
        <v>30.5</v>
      </c>
      <c r="BM258" s="250">
        <f t="shared" si="179"/>
        <v>30.5</v>
      </c>
      <c r="BN258" s="250">
        <f t="shared" si="179"/>
        <v>30.5</v>
      </c>
      <c r="BO258" s="250">
        <f t="shared" si="179"/>
        <v>30.5</v>
      </c>
      <c r="BP258" s="4"/>
    </row>
    <row r="259" spans="38:68" ht="19.149999999999999" x14ac:dyDescent="0.4">
      <c r="AL259" s="13"/>
      <c r="AM259" s="249"/>
      <c r="AN259" s="250">
        <f>AN235</f>
        <v>127</v>
      </c>
      <c r="AO259" s="251" t="s">
        <v>307</v>
      </c>
      <c r="AP259" s="250">
        <f>AP235</f>
        <v>125.8</v>
      </c>
      <c r="AQ259" s="250">
        <f t="shared" ref="AQ259:BO259" si="180">AQ235</f>
        <v>126.265</v>
      </c>
      <c r="AR259" s="250">
        <f t="shared" si="180"/>
        <v>125.63500000000001</v>
      </c>
      <c r="AS259" s="250">
        <f t="shared" si="180"/>
        <v>127</v>
      </c>
      <c r="AT259" s="250">
        <f t="shared" si="180"/>
        <v>127</v>
      </c>
      <c r="AU259" s="250">
        <f t="shared" si="180"/>
        <v>127</v>
      </c>
      <c r="AV259" s="250">
        <f t="shared" si="180"/>
        <v>127</v>
      </c>
      <c r="AW259" s="250">
        <f t="shared" si="180"/>
        <v>127</v>
      </c>
      <c r="AX259" s="250">
        <f t="shared" si="180"/>
        <v>127</v>
      </c>
      <c r="AY259" s="250">
        <f t="shared" si="180"/>
        <v>127</v>
      </c>
      <c r="AZ259" s="250">
        <f t="shared" si="180"/>
        <v>127</v>
      </c>
      <c r="BA259" s="250">
        <f t="shared" si="180"/>
        <v>125.8</v>
      </c>
      <c r="BB259" s="250">
        <f t="shared" si="180"/>
        <v>126.265</v>
      </c>
      <c r="BC259" s="250">
        <f t="shared" si="180"/>
        <v>125.63500000000001</v>
      </c>
      <c r="BD259" s="250">
        <f t="shared" si="180"/>
        <v>127</v>
      </c>
      <c r="BE259" s="250">
        <f t="shared" si="180"/>
        <v>127</v>
      </c>
      <c r="BF259" s="250">
        <f t="shared" si="180"/>
        <v>127</v>
      </c>
      <c r="BG259" s="250">
        <f t="shared" si="180"/>
        <v>127</v>
      </c>
      <c r="BH259" s="250">
        <f t="shared" si="180"/>
        <v>127</v>
      </c>
      <c r="BI259" s="250">
        <f t="shared" si="180"/>
        <v>127</v>
      </c>
      <c r="BJ259" s="250">
        <f t="shared" si="180"/>
        <v>127</v>
      </c>
      <c r="BK259" s="250">
        <f t="shared" si="180"/>
        <v>127</v>
      </c>
      <c r="BL259" s="250">
        <f t="shared" si="180"/>
        <v>127</v>
      </c>
      <c r="BM259" s="250">
        <f t="shared" si="180"/>
        <v>127</v>
      </c>
      <c r="BN259" s="250">
        <f t="shared" si="180"/>
        <v>127</v>
      </c>
      <c r="BO259" s="250">
        <f t="shared" si="180"/>
        <v>127</v>
      </c>
      <c r="BP259" s="4"/>
    </row>
    <row r="260" spans="38:68" ht="19.149999999999999" x14ac:dyDescent="0.4">
      <c r="AL260" s="13"/>
      <c r="AM260" s="249"/>
      <c r="AN260" s="250">
        <f>AN242</f>
        <v>35.72</v>
      </c>
      <c r="AO260" s="251" t="s">
        <v>328</v>
      </c>
      <c r="AP260" s="250">
        <f>AP242</f>
        <v>24.534439335197003</v>
      </c>
      <c r="AQ260" s="250">
        <f t="shared" ref="AQ260:AW261" si="181">AQ242</f>
        <v>24.534439335197003</v>
      </c>
      <c r="AR260" s="250">
        <f t="shared" si="181"/>
        <v>24.534439335197003</v>
      </c>
      <c r="AS260" s="250">
        <f t="shared" si="181"/>
        <v>35.72</v>
      </c>
      <c r="AT260" s="250">
        <f t="shared" si="181"/>
        <v>24.534439335197003</v>
      </c>
      <c r="AU260" s="250">
        <f t="shared" si="181"/>
        <v>35.72</v>
      </c>
      <c r="AV260" s="250">
        <f t="shared" si="181"/>
        <v>35.72</v>
      </c>
      <c r="AW260" s="250">
        <f t="shared" si="181"/>
        <v>35.72</v>
      </c>
      <c r="AX260" s="250">
        <f>AX242</f>
        <v>35.72</v>
      </c>
      <c r="AY260" s="250">
        <f t="shared" ref="AY260:BO261" si="182">AY242</f>
        <v>35.72</v>
      </c>
      <c r="AZ260" s="250">
        <f t="shared" si="182"/>
        <v>35.72</v>
      </c>
      <c r="BA260" s="250">
        <f t="shared" si="182"/>
        <v>35.72</v>
      </c>
      <c r="BB260" s="250">
        <f t="shared" si="182"/>
        <v>35.72</v>
      </c>
      <c r="BC260" s="250">
        <f t="shared" si="182"/>
        <v>35.72</v>
      </c>
      <c r="BD260" s="250">
        <f t="shared" si="182"/>
        <v>35.72</v>
      </c>
      <c r="BE260" s="250">
        <f t="shared" si="182"/>
        <v>35.72</v>
      </c>
      <c r="BF260" s="250">
        <f t="shared" si="182"/>
        <v>35.72</v>
      </c>
      <c r="BG260" s="250">
        <f t="shared" si="182"/>
        <v>35.72</v>
      </c>
      <c r="BH260" s="250">
        <f t="shared" si="182"/>
        <v>35.72</v>
      </c>
      <c r="BI260" s="250">
        <f t="shared" si="182"/>
        <v>35.72</v>
      </c>
      <c r="BJ260" s="250">
        <f t="shared" si="182"/>
        <v>35.72</v>
      </c>
      <c r="BK260" s="250">
        <f t="shared" si="182"/>
        <v>35.72</v>
      </c>
      <c r="BL260" s="250">
        <f t="shared" si="182"/>
        <v>35.72</v>
      </c>
      <c r="BM260" s="250">
        <f t="shared" si="182"/>
        <v>35.72</v>
      </c>
      <c r="BN260" s="250">
        <f t="shared" si="182"/>
        <v>35.72</v>
      </c>
      <c r="BO260" s="250">
        <f t="shared" si="182"/>
        <v>35.72</v>
      </c>
      <c r="BP260" s="4"/>
    </row>
    <row r="261" spans="38:68" ht="19.149999999999999" x14ac:dyDescent="0.4">
      <c r="AL261" s="13"/>
      <c r="AM261" s="249"/>
      <c r="AN261" s="250">
        <f>AN243</f>
        <v>16510.520195999998</v>
      </c>
      <c r="AO261" s="251" t="s">
        <v>329</v>
      </c>
      <c r="AP261" s="250">
        <f>AP243</f>
        <v>13371.438325163273</v>
      </c>
      <c r="AQ261" s="250">
        <f t="shared" si="181"/>
        <v>13371.438325163273</v>
      </c>
      <c r="AR261" s="250">
        <f t="shared" si="181"/>
        <v>13371.438325163273</v>
      </c>
      <c r="AS261" s="250">
        <f t="shared" si="181"/>
        <v>13371.438325163273</v>
      </c>
      <c r="AT261" s="250">
        <f t="shared" si="181"/>
        <v>16510.520195999998</v>
      </c>
      <c r="AU261" s="250">
        <f t="shared" si="181"/>
        <v>16510.520195999998</v>
      </c>
      <c r="AV261" s="250">
        <f t="shared" si="181"/>
        <v>16510.520195999998</v>
      </c>
      <c r="AW261" s="250">
        <f t="shared" si="181"/>
        <v>16510.520195999998</v>
      </c>
      <c r="AX261" s="250">
        <f>AX243</f>
        <v>16510.520195999998</v>
      </c>
      <c r="AY261" s="250">
        <f t="shared" si="182"/>
        <v>16510.520195999998</v>
      </c>
      <c r="AZ261" s="250">
        <f t="shared" si="182"/>
        <v>16510.520195999998</v>
      </c>
      <c r="BA261" s="250">
        <f t="shared" si="182"/>
        <v>16510.520195999998</v>
      </c>
      <c r="BB261" s="250">
        <f t="shared" si="182"/>
        <v>16510.520195999998</v>
      </c>
      <c r="BC261" s="250">
        <f t="shared" si="182"/>
        <v>16510.520195999998</v>
      </c>
      <c r="BD261" s="250">
        <f t="shared" si="182"/>
        <v>16510.520195999998</v>
      </c>
      <c r="BE261" s="250">
        <f t="shared" si="182"/>
        <v>16510.520195999998</v>
      </c>
      <c r="BF261" s="250">
        <f t="shared" si="182"/>
        <v>16510.520195999998</v>
      </c>
      <c r="BG261" s="250">
        <f t="shared" si="182"/>
        <v>16510.520195999998</v>
      </c>
      <c r="BH261" s="250">
        <f t="shared" si="182"/>
        <v>16510.520195999998</v>
      </c>
      <c r="BI261" s="250">
        <f t="shared" si="182"/>
        <v>16510.520195999998</v>
      </c>
      <c r="BJ261" s="250">
        <f t="shared" si="182"/>
        <v>16510.520195999998</v>
      </c>
      <c r="BK261" s="250">
        <f t="shared" si="182"/>
        <v>16510.520195999998</v>
      </c>
      <c r="BL261" s="250">
        <f t="shared" si="182"/>
        <v>16510.520195999998</v>
      </c>
      <c r="BM261" s="250">
        <f t="shared" si="182"/>
        <v>16510.520195999998</v>
      </c>
      <c r="BN261" s="250">
        <f t="shared" si="182"/>
        <v>16510.520195999998</v>
      </c>
      <c r="BO261" s="250">
        <f t="shared" si="182"/>
        <v>16510.520195999998</v>
      </c>
      <c r="BP261" s="4"/>
    </row>
    <row r="262" spans="38:68" ht="19.149999999999999" x14ac:dyDescent="0.4">
      <c r="AL262" s="13"/>
      <c r="AM262" s="249"/>
      <c r="AN262" s="250">
        <f>AN247</f>
        <v>1.89</v>
      </c>
      <c r="AO262" s="251" t="s">
        <v>318</v>
      </c>
      <c r="AP262" s="250">
        <f>AP247</f>
        <v>2.9476190476190469</v>
      </c>
      <c r="AQ262" s="250">
        <f t="shared" ref="AQ262:AW263" si="183">AQ247</f>
        <v>2.7999999999999994</v>
      </c>
      <c r="AR262" s="250">
        <f t="shared" si="183"/>
        <v>2.9999999999999996</v>
      </c>
      <c r="AS262" s="250">
        <f t="shared" si="183"/>
        <v>1.89</v>
      </c>
      <c r="AT262" s="250">
        <f t="shared" si="183"/>
        <v>1.89</v>
      </c>
      <c r="AU262" s="250">
        <f t="shared" si="183"/>
        <v>2.9476190476190469</v>
      </c>
      <c r="AV262" s="250">
        <f t="shared" si="183"/>
        <v>2.7999999999999994</v>
      </c>
      <c r="AW262" s="250">
        <f t="shared" si="183"/>
        <v>2.9999999999999996</v>
      </c>
      <c r="AX262" s="250">
        <f>AX247</f>
        <v>1.89</v>
      </c>
      <c r="AY262" s="250">
        <f t="shared" ref="AY262:BO263" si="184">AY247</f>
        <v>1.89</v>
      </c>
      <c r="AZ262" s="250">
        <f t="shared" si="184"/>
        <v>1.89</v>
      </c>
      <c r="BA262" s="250">
        <f t="shared" si="184"/>
        <v>1.89</v>
      </c>
      <c r="BB262" s="250">
        <f t="shared" si="184"/>
        <v>1.89</v>
      </c>
      <c r="BC262" s="250">
        <f t="shared" si="184"/>
        <v>1.89</v>
      </c>
      <c r="BD262" s="250">
        <f t="shared" si="184"/>
        <v>1.89</v>
      </c>
      <c r="BE262" s="250">
        <f t="shared" si="184"/>
        <v>1.89</v>
      </c>
      <c r="BF262" s="250">
        <f t="shared" si="184"/>
        <v>1.89</v>
      </c>
      <c r="BG262" s="250">
        <f t="shared" si="184"/>
        <v>1.89</v>
      </c>
      <c r="BH262" s="250">
        <f t="shared" si="184"/>
        <v>1.89</v>
      </c>
      <c r="BI262" s="250">
        <f t="shared" si="184"/>
        <v>1.89</v>
      </c>
      <c r="BJ262" s="250">
        <f t="shared" si="184"/>
        <v>1.89</v>
      </c>
      <c r="BK262" s="250">
        <f t="shared" si="184"/>
        <v>1.89</v>
      </c>
      <c r="BL262" s="250">
        <f t="shared" si="184"/>
        <v>1.89</v>
      </c>
      <c r="BM262" s="250">
        <f t="shared" si="184"/>
        <v>1.89</v>
      </c>
      <c r="BN262" s="250">
        <f t="shared" si="184"/>
        <v>1.89</v>
      </c>
      <c r="BO262" s="250">
        <f t="shared" si="184"/>
        <v>1.89</v>
      </c>
      <c r="BP262" s="4"/>
    </row>
    <row r="263" spans="38:68" ht="19.149999999999999" x14ac:dyDescent="0.4">
      <c r="AL263" s="13"/>
      <c r="AM263" s="249"/>
      <c r="AN263" s="250">
        <f>AN248</f>
        <v>1.89</v>
      </c>
      <c r="AO263" s="251" t="s">
        <v>319</v>
      </c>
      <c r="AP263" s="250">
        <f>AP248</f>
        <v>2.5000000000000004</v>
      </c>
      <c r="AQ263" s="250">
        <f t="shared" si="183"/>
        <v>2.5000000000000004</v>
      </c>
      <c r="AR263" s="250">
        <f t="shared" si="183"/>
        <v>2.5000000000000004</v>
      </c>
      <c r="AS263" s="250">
        <f t="shared" si="183"/>
        <v>1.89</v>
      </c>
      <c r="AT263" s="250">
        <f t="shared" si="183"/>
        <v>1.89</v>
      </c>
      <c r="AU263" s="250">
        <f t="shared" si="183"/>
        <v>1.89</v>
      </c>
      <c r="AV263" s="250">
        <f t="shared" si="183"/>
        <v>1.89</v>
      </c>
      <c r="AW263" s="250">
        <f t="shared" si="183"/>
        <v>1.89</v>
      </c>
      <c r="AX263" s="250">
        <f>AX248</f>
        <v>2.5000000000000004</v>
      </c>
      <c r="AY263" s="250">
        <f t="shared" si="184"/>
        <v>2.5000000000000004</v>
      </c>
      <c r="AZ263" s="250">
        <f t="shared" si="184"/>
        <v>2.5000000000000004</v>
      </c>
      <c r="BA263" s="250">
        <f t="shared" si="184"/>
        <v>1.89</v>
      </c>
      <c r="BB263" s="250">
        <f t="shared" si="184"/>
        <v>1.89</v>
      </c>
      <c r="BC263" s="250">
        <f t="shared" si="184"/>
        <v>1.89</v>
      </c>
      <c r="BD263" s="250">
        <f t="shared" si="184"/>
        <v>1.89</v>
      </c>
      <c r="BE263" s="250">
        <f t="shared" si="184"/>
        <v>1.89</v>
      </c>
      <c r="BF263" s="250">
        <f t="shared" si="184"/>
        <v>1.89</v>
      </c>
      <c r="BG263" s="250">
        <f t="shared" si="184"/>
        <v>1.89</v>
      </c>
      <c r="BH263" s="250">
        <f t="shared" si="184"/>
        <v>1.89</v>
      </c>
      <c r="BI263" s="250">
        <f t="shared" si="184"/>
        <v>1.89</v>
      </c>
      <c r="BJ263" s="250">
        <f t="shared" si="184"/>
        <v>1.89</v>
      </c>
      <c r="BK263" s="250">
        <f t="shared" si="184"/>
        <v>1.89</v>
      </c>
      <c r="BL263" s="250">
        <f t="shared" si="184"/>
        <v>1.89</v>
      </c>
      <c r="BM263" s="250">
        <f t="shared" si="184"/>
        <v>1.89</v>
      </c>
      <c r="BN263" s="250">
        <f t="shared" si="184"/>
        <v>1.89</v>
      </c>
      <c r="BO263" s="250">
        <f t="shared" si="184"/>
        <v>1.89</v>
      </c>
      <c r="BP263" s="4"/>
    </row>
    <row r="264" spans="38:68" ht="19.149999999999999" x14ac:dyDescent="0.4">
      <c r="AL264" s="13"/>
      <c r="AM264" s="249"/>
      <c r="AN264" s="250">
        <f>AN245</f>
        <v>0.6</v>
      </c>
      <c r="AO264" s="251" t="s">
        <v>316</v>
      </c>
      <c r="AP264" s="250">
        <f>AP245</f>
        <v>0.9</v>
      </c>
      <c r="AQ264" s="250">
        <f t="shared" ref="AQ264:AW265" si="185">AQ245</f>
        <v>0.9</v>
      </c>
      <c r="AR264" s="250">
        <f t="shared" si="185"/>
        <v>0.9</v>
      </c>
      <c r="AS264" s="250">
        <f t="shared" si="185"/>
        <v>0.9</v>
      </c>
      <c r="AT264" s="250">
        <f t="shared" si="185"/>
        <v>0.9</v>
      </c>
      <c r="AU264" s="250">
        <f t="shared" si="185"/>
        <v>0.9</v>
      </c>
      <c r="AV264" s="250">
        <f t="shared" si="185"/>
        <v>0.9</v>
      </c>
      <c r="AW264" s="250">
        <f t="shared" si="185"/>
        <v>0.9</v>
      </c>
      <c r="AX264" s="250">
        <f>AX245</f>
        <v>0.9</v>
      </c>
      <c r="AY264" s="250">
        <f t="shared" ref="AY264:BO265" si="186">AY245</f>
        <v>0.9</v>
      </c>
      <c r="AZ264" s="250">
        <f t="shared" si="186"/>
        <v>0.9</v>
      </c>
      <c r="BA264" s="250">
        <f t="shared" si="186"/>
        <v>0.9</v>
      </c>
      <c r="BB264" s="250">
        <f t="shared" si="186"/>
        <v>0.9</v>
      </c>
      <c r="BC264" s="250">
        <f t="shared" si="186"/>
        <v>0.9</v>
      </c>
      <c r="BD264" s="250">
        <f t="shared" si="186"/>
        <v>0.9</v>
      </c>
      <c r="BE264" s="250">
        <f t="shared" si="186"/>
        <v>0.9</v>
      </c>
      <c r="BF264" s="250">
        <f t="shared" si="186"/>
        <v>0.9</v>
      </c>
      <c r="BG264" s="250">
        <f t="shared" si="186"/>
        <v>0.9</v>
      </c>
      <c r="BH264" s="250">
        <f t="shared" si="186"/>
        <v>0.9</v>
      </c>
      <c r="BI264" s="250">
        <f t="shared" si="186"/>
        <v>0.9</v>
      </c>
      <c r="BJ264" s="250">
        <f t="shared" si="186"/>
        <v>0.9</v>
      </c>
      <c r="BK264" s="250">
        <f t="shared" si="186"/>
        <v>0.9</v>
      </c>
      <c r="BL264" s="250">
        <f t="shared" si="186"/>
        <v>0.9</v>
      </c>
      <c r="BM264" s="250">
        <f t="shared" si="186"/>
        <v>0.9</v>
      </c>
      <c r="BN264" s="250">
        <f t="shared" si="186"/>
        <v>0.9</v>
      </c>
      <c r="BO264" s="250">
        <f t="shared" si="186"/>
        <v>0.9</v>
      </c>
      <c r="BP264" s="4"/>
    </row>
    <row r="265" spans="38:68" ht="19.149999999999999" x14ac:dyDescent="0.4">
      <c r="AL265" s="13"/>
      <c r="AM265" s="249"/>
      <c r="AN265" s="250">
        <f>AN246</f>
        <v>0.4</v>
      </c>
      <c r="AO265" s="251" t="s">
        <v>330</v>
      </c>
      <c r="AP265" s="250">
        <f>AP246</f>
        <v>9.9999999999999978E-2</v>
      </c>
      <c r="AQ265" s="250">
        <f t="shared" si="185"/>
        <v>9.9999999999999978E-2</v>
      </c>
      <c r="AR265" s="250">
        <f t="shared" si="185"/>
        <v>9.9999999999999978E-2</v>
      </c>
      <c r="AS265" s="250">
        <f t="shared" si="185"/>
        <v>9.9999999999999978E-2</v>
      </c>
      <c r="AT265" s="250">
        <f t="shared" si="185"/>
        <v>9.9999999999999978E-2</v>
      </c>
      <c r="AU265" s="250">
        <f t="shared" si="185"/>
        <v>9.9999999999999978E-2</v>
      </c>
      <c r="AV265" s="250">
        <f t="shared" si="185"/>
        <v>9.9999999999999978E-2</v>
      </c>
      <c r="AW265" s="250">
        <f t="shared" si="185"/>
        <v>9.9999999999999978E-2</v>
      </c>
      <c r="AX265" s="250">
        <f>AX246</f>
        <v>9.9999999999999978E-2</v>
      </c>
      <c r="AY265" s="250">
        <f t="shared" si="186"/>
        <v>9.9999999999999978E-2</v>
      </c>
      <c r="AZ265" s="250">
        <f t="shared" si="186"/>
        <v>9.9999999999999978E-2</v>
      </c>
      <c r="BA265" s="250">
        <f t="shared" si="186"/>
        <v>9.9999999999999978E-2</v>
      </c>
      <c r="BB265" s="250">
        <f t="shared" si="186"/>
        <v>9.9999999999999978E-2</v>
      </c>
      <c r="BC265" s="250">
        <f t="shared" si="186"/>
        <v>9.9999999999999978E-2</v>
      </c>
      <c r="BD265" s="250">
        <f t="shared" si="186"/>
        <v>9.9999999999999978E-2</v>
      </c>
      <c r="BE265" s="250">
        <f t="shared" si="186"/>
        <v>9.9999999999999978E-2</v>
      </c>
      <c r="BF265" s="250">
        <f t="shared" si="186"/>
        <v>9.9999999999999978E-2</v>
      </c>
      <c r="BG265" s="250">
        <f t="shared" si="186"/>
        <v>9.9999999999999978E-2</v>
      </c>
      <c r="BH265" s="250">
        <f t="shared" si="186"/>
        <v>9.9999999999999978E-2</v>
      </c>
      <c r="BI265" s="250">
        <f t="shared" si="186"/>
        <v>9.9999999999999978E-2</v>
      </c>
      <c r="BJ265" s="250">
        <f t="shared" si="186"/>
        <v>9.9999999999999978E-2</v>
      </c>
      <c r="BK265" s="250">
        <f t="shared" si="186"/>
        <v>9.9999999999999978E-2</v>
      </c>
      <c r="BL265" s="250">
        <f t="shared" si="186"/>
        <v>9.9999999999999978E-2</v>
      </c>
      <c r="BM265" s="250">
        <f t="shared" si="186"/>
        <v>9.9999999999999978E-2</v>
      </c>
      <c r="BN265" s="250">
        <f t="shared" si="186"/>
        <v>9.9999999999999978E-2</v>
      </c>
      <c r="BO265" s="250">
        <f t="shared" si="186"/>
        <v>9.9999999999999978E-2</v>
      </c>
      <c r="BP265" s="4"/>
    </row>
    <row r="266" spans="38:68" x14ac:dyDescent="0.4">
      <c r="AL266" s="13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38:68" x14ac:dyDescent="0.4">
      <c r="AL267" s="13"/>
    </row>
    <row r="268" spans="38:68" ht="16.899999999999999" x14ac:dyDescent="0.4">
      <c r="AL268" s="13"/>
      <c r="AM268" s="259" t="s">
        <v>331</v>
      </c>
      <c r="AN268" s="259"/>
      <c r="AO268" s="259"/>
      <c r="AP268" s="259"/>
      <c r="AQ268" s="259"/>
      <c r="AR268" s="259"/>
      <c r="AS268" s="259"/>
      <c r="AT268" s="259"/>
      <c r="AU268" s="259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38:68" ht="16.899999999999999" x14ac:dyDescent="0.4">
      <c r="AL269" s="13"/>
      <c r="AM269" s="220" t="s">
        <v>219</v>
      </c>
      <c r="AN269" s="220" t="s">
        <v>220</v>
      </c>
      <c r="AO269" s="220" t="s">
        <v>221</v>
      </c>
      <c r="AP269" s="220" t="s">
        <v>222</v>
      </c>
      <c r="AQ269" s="220" t="s">
        <v>223</v>
      </c>
      <c r="AR269" s="220" t="s">
        <v>224</v>
      </c>
      <c r="AS269" s="220" t="s">
        <v>225</v>
      </c>
      <c r="AT269" s="220" t="s">
        <v>226</v>
      </c>
      <c r="AU269" s="220" t="s">
        <v>227</v>
      </c>
      <c r="BP269" s="4"/>
    </row>
    <row r="270" spans="38:68" ht="16.149999999999999" x14ac:dyDescent="0.4">
      <c r="AL270" s="13"/>
      <c r="AM270" s="221" t="s">
        <v>228</v>
      </c>
      <c r="AN270" s="222">
        <f>AN272/(AN271*100*AN273*100*4.1816*7000)*10000000</f>
        <v>321.54399941206555</v>
      </c>
      <c r="AO270" s="221" t="s">
        <v>229</v>
      </c>
      <c r="AP270" s="223">
        <f>IFERROR(AP272/((AP271*100)*(AP273*100)*7000*4.1868)*10000000,)</f>
        <v>0</v>
      </c>
      <c r="AQ270" s="223" t="e">
        <f t="shared" ref="AP270:AR270" si="187">AQ272/((AQ271*100)*(AQ273*100)*7000*4.1868)*10000000</f>
        <v>#DIV/0!</v>
      </c>
      <c r="AR270" s="223" t="e">
        <f t="shared" si="187"/>
        <v>#DIV/0!</v>
      </c>
      <c r="AS270" s="223" t="s">
        <v>178</v>
      </c>
      <c r="AT270" s="223" t="s">
        <v>178</v>
      </c>
      <c r="AU270" s="223" t="s">
        <v>178</v>
      </c>
      <c r="AV270" s="224" t="e">
        <f>$AN270+AS276+AS272+SUM(AS279:AS289)</f>
        <v>#DIV/0!</v>
      </c>
      <c r="AW270" s="224" t="e">
        <f t="shared" ref="AW270" si="188">$AN270+AT276+AT272+SUM(AT279:AT289)</f>
        <v>#DIV/0!</v>
      </c>
      <c r="AX270" s="224" t="e">
        <f t="shared" ref="AX270" si="189">$AN270+AU276+AU272+SUM(AU279:AU289)</f>
        <v>#DIV/0!</v>
      </c>
      <c r="BP270" s="4"/>
    </row>
    <row r="271" spans="38:68" ht="16.149999999999999" x14ac:dyDescent="0.4">
      <c r="AL271" s="13"/>
      <c r="AM271" s="225" t="s">
        <v>230</v>
      </c>
      <c r="AN271" s="260">
        <v>0.90110000000000001</v>
      </c>
      <c r="AO271" s="225" t="s">
        <v>231</v>
      </c>
      <c r="AP271" s="227">
        <f>IFERROR(SUMPRODUCT(AQ278:AR278,AQ271:AR271)/AP278,)</f>
        <v>0</v>
      </c>
      <c r="AQ271" s="322" t="e">
        <f>AQ298/100-(0.03006*AQ280-0.1786+0.033066)/100+(0.000029*POWER(AQ287,2)-0.009245*POWER(AQ287,1)+0.2025+0.315756)/100</f>
        <v>#DIV/0!</v>
      </c>
      <c r="AR271" s="322" t="e">
        <f>AR298/100-(0.03006*AR280-0.1786+0.033066)/100+(0.000029*POWER(AR287,2)-0.009245*POWER(AR287,1)+0.2025+0.315756)/100</f>
        <v>#DIV/0!</v>
      </c>
      <c r="AS271" s="227" t="s">
        <v>178</v>
      </c>
      <c r="AT271" s="227" t="s">
        <v>178</v>
      </c>
      <c r="AU271" s="227" t="s">
        <v>178</v>
      </c>
      <c r="BP271" s="4"/>
    </row>
    <row r="272" spans="38:68" ht="16.149999999999999" x14ac:dyDescent="0.4">
      <c r="AL272" s="13"/>
      <c r="AM272" s="221" t="s">
        <v>232</v>
      </c>
      <c r="AN272" s="228">
        <v>8226.7000000000007</v>
      </c>
      <c r="AO272" s="221" t="s">
        <v>233</v>
      </c>
      <c r="AP272" s="311">
        <f>IFERROR(SUMPRODUCT(AQ278:AR278,AQ272:AR272)/AP278,)</f>
        <v>0</v>
      </c>
      <c r="AQ272" s="223">
        <f>AQ276*(1+(AQ274-$AN$274)/100+($AN$292-AQ292)*0.25%+($AN$293-AQ293)*0.04%+($AN$294-AQ294)*0.02%)+((0.0622*AQ275*AQ275-21.036*AQ275+9959.9)-(0.0622*$AN$275*$AN$275-21.036*$AN$275+9959.9))</f>
        <v>10907.793676145855</v>
      </c>
      <c r="AR272" s="223">
        <f>AR276*(1+(AR274-$AN$274)/100+($AN$292-AR292)*0.25%+($AN$293-AR293)*0.04%+($AN$294-AR294)*0.02%)+((0.0622*AR275*AR275-21.036*AR275+9959.9)-(0.0622*$AN$275*$AN$275-21.036*$AN$275+9959.9))</f>
        <v>10891.508533670854</v>
      </c>
      <c r="AS272" s="223" t="e">
        <f>(AP272-AP276)/((AP271*100)*(AP273*100)*7000*4.1868)*10000000</f>
        <v>#DIV/0!</v>
      </c>
      <c r="AT272" s="223" t="e">
        <f t="shared" ref="AT272:AU272" si="190">(AQ272-AQ276)/((AQ271*100)*(AQ273*100)*7000*4.1868)*10000000</f>
        <v>#DIV/0!</v>
      </c>
      <c r="AU272" s="223" t="e">
        <f t="shared" si="190"/>
        <v>#DIV/0!</v>
      </c>
      <c r="AW272" s="229"/>
      <c r="BP272" s="4"/>
    </row>
    <row r="273" spans="38:68" ht="16.149999999999999" x14ac:dyDescent="0.4">
      <c r="AL273" s="13"/>
      <c r="AM273" s="225" t="s">
        <v>234</v>
      </c>
      <c r="AN273" s="226">
        <v>0.97</v>
      </c>
      <c r="AO273" s="225" t="s">
        <v>235</v>
      </c>
      <c r="AP273" s="227">
        <f>IFERROR(SUMPRODUCT(AQ278:AR278,AQ273:AR273)/AP278,)</f>
        <v>0</v>
      </c>
      <c r="AQ273" s="227">
        <v>0.96799999999999997</v>
      </c>
      <c r="AR273" s="227">
        <v>0.96799999999999997</v>
      </c>
      <c r="AS273" s="227" t="s">
        <v>178</v>
      </c>
      <c r="AT273" s="227" t="s">
        <v>178</v>
      </c>
      <c r="AU273" s="227" t="s">
        <v>178</v>
      </c>
      <c r="BP273" s="4"/>
    </row>
    <row r="274" spans="38:68" ht="16.149999999999999" x14ac:dyDescent="0.4">
      <c r="AL274" s="13"/>
      <c r="AM274" s="221" t="s">
        <v>236</v>
      </c>
      <c r="AN274" s="228">
        <f>AN291+AN290</f>
        <v>6.1000000000000085</v>
      </c>
      <c r="AO274" s="221" t="s">
        <v>237</v>
      </c>
      <c r="AP274" s="312">
        <f>IFERROR(SUMPRODUCT(AQ278:AR278,AQ274:AR274)/AP278,)</f>
        <v>0</v>
      </c>
      <c r="AQ274" s="231">
        <v>11.4218637992829</v>
      </c>
      <c r="AR274" s="231">
        <v>11.4218637992829</v>
      </c>
      <c r="AS274" s="231" t="e">
        <f>(AP276*(1*0+(AP274-$AN$274)/100+($AN$292-AP292)*0.25%*0+($AN$293-AP293)*0.04%*0+($AN$294-AP294)*0.02%*0))/((AP271*100)*(AP273*100)*7000*4.1868)*10000000</f>
        <v>#DIV/0!</v>
      </c>
      <c r="AT274" s="231" t="e">
        <f t="shared" ref="AT274:AU274" si="191">(AQ276*(1*0+(AQ274-$AN$274)/100+($AN$292-AQ292)*0.25%*0+($AN$293-AQ293)*0.04%*0+($AN$294-AQ294)*0.02%*0))/((AQ271*100)*(AQ273*100)*7000*4.1868)*10000000</f>
        <v>#DIV/0!</v>
      </c>
      <c r="AU274" s="231" t="e">
        <f t="shared" si="191"/>
        <v>#DIV/0!</v>
      </c>
      <c r="BP274" s="4"/>
    </row>
    <row r="275" spans="38:68" ht="16.149999999999999" x14ac:dyDescent="0.4">
      <c r="AL275" s="13"/>
      <c r="AM275" s="225" t="s">
        <v>238</v>
      </c>
      <c r="AN275" s="228">
        <v>150</v>
      </c>
      <c r="AO275" s="225" t="s">
        <v>239</v>
      </c>
      <c r="AP275" s="232">
        <f>IFERROR(SUMPRODUCT(AQ278:AR278,AQ275:AR275)/AP278,)</f>
        <v>0</v>
      </c>
      <c r="AQ275" s="222">
        <v>0</v>
      </c>
      <c r="AR275" s="222">
        <v>0</v>
      </c>
      <c r="AS275" s="232" t="e">
        <f>((0.0622*AP275*AP275-21.036*AP275+9959.9)-(0.0622*$AN$275*$AN$275-21.036*$AN$275+9959.9))/((AP271*100)*(AP273*100)*7000*4.1868)*10000000</f>
        <v>#DIV/0!</v>
      </c>
      <c r="AT275" s="232" t="e">
        <f t="shared" ref="AT275:AU275" si="192">((0.0622*AQ275*AQ275-21.036*AQ275+9959.9)-(0.0622*$AN$275*$AN$275-21.036*$AN$275+9959.9))/((AQ271*100)*(AQ273*100)*7000*4.1868)*10000000</f>
        <v>#DIV/0!</v>
      </c>
      <c r="AU275" s="232" t="e">
        <f t="shared" si="192"/>
        <v>#DIV/0!</v>
      </c>
      <c r="BP275" s="4"/>
    </row>
    <row r="276" spans="38:68" ht="16.149999999999999" x14ac:dyDescent="0.4">
      <c r="AL276" s="13"/>
      <c r="AM276" s="221" t="s">
        <v>240</v>
      </c>
      <c r="AN276" s="233">
        <f>AP276</f>
        <v>0</v>
      </c>
      <c r="AO276" s="221" t="s">
        <v>240</v>
      </c>
      <c r="AP276" s="312">
        <f>IFERROR(SUMPRODUCT(AQ278:AR278,AQ276:AR276)/AP278,)</f>
        <v>0</v>
      </c>
      <c r="AQ276" s="233">
        <f>INDEX([3]机组参数!$A$33:$AC$48,MATCH($A$1,[3]机组参数!$A$33:$A$48,0),2)</f>
        <v>8616.4774999999991</v>
      </c>
      <c r="AR276" s="233">
        <f>INDEX([3]机组参数!$A$33:$AC$48,MATCH($A$1,[3]机组参数!$A$33:$A$48,0),3)</f>
        <v>8616.4774999999991</v>
      </c>
      <c r="AS276" s="231" t="e">
        <f>(AP276-$AN$272)/((AP271*100)*(AP273*100)*7000*4.1868)*10000000</f>
        <v>#DIV/0!</v>
      </c>
      <c r="AT276" s="231" t="e">
        <f t="shared" ref="AT276:AU276" si="193">(AQ276-$AN$272)/((AQ271*100)*(AQ273*100)*7000*4.1868)*10000000</f>
        <v>#DIV/0!</v>
      </c>
      <c r="AU276" s="231" t="e">
        <f t="shared" si="193"/>
        <v>#DIV/0!</v>
      </c>
      <c r="BP276" s="4"/>
    </row>
    <row r="277" spans="38:68" ht="16.149999999999999" x14ac:dyDescent="0.4">
      <c r="AL277" s="13"/>
      <c r="AM277" s="225" t="s">
        <v>241</v>
      </c>
      <c r="AN277" s="228">
        <f>AN275*AN278/10</f>
        <v>75000</v>
      </c>
      <c r="AO277" s="225" t="s">
        <v>242</v>
      </c>
      <c r="AP277" s="232">
        <f>IFERROR(SUM(AQ277:AR277),)</f>
        <v>0</v>
      </c>
      <c r="AQ277" s="234">
        <f>AQ275*AQ278/10</f>
        <v>0</v>
      </c>
      <c r="AR277" s="234">
        <f>AR275*AR278/10</f>
        <v>0</v>
      </c>
      <c r="AS277" s="235" t="s">
        <v>178</v>
      </c>
      <c r="AT277" s="235" t="s">
        <v>178</v>
      </c>
      <c r="AU277" s="235" t="s">
        <v>178</v>
      </c>
      <c r="BP277" s="4"/>
    </row>
    <row r="278" spans="38:68" ht="16.149999999999999" x14ac:dyDescent="0.4">
      <c r="AL278" s="13"/>
      <c r="AM278" s="221" t="s">
        <v>243</v>
      </c>
      <c r="AN278" s="228">
        <v>5000</v>
      </c>
      <c r="AO278" s="221" t="s">
        <v>244</v>
      </c>
      <c r="AP278" s="312">
        <f>IFERROR(SUM(AQ278:AR278),)</f>
        <v>0</v>
      </c>
      <c r="AQ278" s="230">
        <v>0</v>
      </c>
      <c r="AR278" s="230">
        <v>0</v>
      </c>
      <c r="AS278" s="231" t="s">
        <v>178</v>
      </c>
      <c r="AT278" s="231" t="s">
        <v>178</v>
      </c>
      <c r="AU278" s="231" t="s">
        <v>178</v>
      </c>
      <c r="BP278" s="4"/>
    </row>
    <row r="279" spans="38:68" ht="16.149999999999999" x14ac:dyDescent="0.4">
      <c r="AL279" s="13"/>
      <c r="AM279" s="225" t="s">
        <v>245</v>
      </c>
      <c r="AN279" s="228">
        <v>3756.9</v>
      </c>
      <c r="AO279" s="225" t="s">
        <v>246</v>
      </c>
      <c r="AP279" s="232">
        <f>IFERROR(SUMPRODUCT(AQ278:AR278,AQ279:AR279)/AP278,)</f>
        <v>0</v>
      </c>
      <c r="AQ279" s="310">
        <f>$C$66</f>
        <v>0</v>
      </c>
      <c r="AR279" s="310">
        <f>$C$66</f>
        <v>0</v>
      </c>
      <c r="AS279" s="236" t="e">
        <f>AP272/((AP271*100)*(AP273*100)*7000*4.1868)*10000000-AP272/((AP271*100-(($AS298-$AN$298)/100-($AN$279-AP279)/1000*1.25%)*100)*(AP273*100)*7000*4.1868)*10000000</f>
        <v>#DIV/0!</v>
      </c>
      <c r="AT279" s="236" t="e">
        <f t="shared" ref="AT279:AU279" si="194">AQ272/((AQ271*100)*(AQ273*100)*7000*4.1868)*10000000-AQ272/((AQ271*100-(($AS298-$AN$298)/100-($AN$279-AQ279)/1000*1.25%)*100)*(AQ273*100)*7000*4.1868)*10000000</f>
        <v>#DIV/0!</v>
      </c>
      <c r="AU279" s="236" t="e">
        <f t="shared" si="194"/>
        <v>#DIV/0!</v>
      </c>
      <c r="BP279" s="4"/>
    </row>
    <row r="280" spans="38:68" ht="16.149999999999999" x14ac:dyDescent="0.4">
      <c r="AL280" s="13"/>
      <c r="AM280" s="221" t="s">
        <v>247</v>
      </c>
      <c r="AN280" s="237">
        <v>8.6999999999999993</v>
      </c>
      <c r="AO280" s="221" t="s">
        <v>248</v>
      </c>
      <c r="AP280" s="312">
        <f>IFERROR(SUMPRODUCT(AQ278:AR278,AQ280:AR280)/AP278,)</f>
        <v>0</v>
      </c>
      <c r="AQ280" s="310">
        <f>$F$66</f>
        <v>0</v>
      </c>
      <c r="AR280" s="310">
        <f>$F$66</f>
        <v>0</v>
      </c>
      <c r="AS280" s="238" t="e">
        <f>AP272/((AP271*100)*(AP273*100)*7000*4.1868)*10000000-AP272/((AP271*100-(-(AP280-$AN$280)/100*0.008)*100)*(AP273*100)*7000*4.1868)*10000000</f>
        <v>#DIV/0!</v>
      </c>
      <c r="AT280" s="238" t="e">
        <f t="shared" ref="AT280:AU280" si="195">AQ272/((AQ271*100)*(AQ273*100)*7000*4.1868)*10000000-AQ272/((AQ271*100-(-(AQ280-$AN$280)/100*0.008)*100)*(AQ273*100)*7000*4.1868)*10000000</f>
        <v>#DIV/0!</v>
      </c>
      <c r="AU280" s="238" t="e">
        <f t="shared" si="195"/>
        <v>#DIV/0!</v>
      </c>
      <c r="BP280" s="4"/>
    </row>
    <row r="281" spans="38:68" ht="16.149999999999999" x14ac:dyDescent="0.4">
      <c r="AL281" s="13"/>
      <c r="AM281" s="225" t="s">
        <v>249</v>
      </c>
      <c r="AN281" s="237">
        <v>39.61</v>
      </c>
      <c r="AO281" s="225" t="s">
        <v>250</v>
      </c>
      <c r="AP281" s="232">
        <f>IFERROR(SUMPRODUCT(AQ278:AR278,AQ281:AR281)/AP278,)</f>
        <v>0</v>
      </c>
      <c r="AQ281" s="310">
        <f>$G$66</f>
        <v>0</v>
      </c>
      <c r="AR281" s="310">
        <f>$G$66</f>
        <v>0</v>
      </c>
      <c r="AS281" s="236" t="e">
        <f>AP272/((AP271*100)*(AP273*100)*7000*4.1868)*10000000-AP272/((AP271*100-(($AT298-$AN$298)/100)*100)*(AP273*100)*7000*4.1868)*10000000</f>
        <v>#DIV/0!</v>
      </c>
      <c r="AT281" s="236" t="e">
        <f t="shared" ref="AT281:AU281" si="196">AQ272/((AQ271*100)*(AQ273*100)*7000*4.1868)*10000000-AQ272/((AQ271*100-(($AT298-$AN$298)/100)*100)*(AQ273*100)*7000*4.1868)*10000000</f>
        <v>#DIV/0!</v>
      </c>
      <c r="AU281" s="236" t="e">
        <f t="shared" si="196"/>
        <v>#DIV/0!</v>
      </c>
      <c r="BP281" s="4"/>
    </row>
    <row r="282" spans="38:68" ht="16.149999999999999" x14ac:dyDescent="0.4">
      <c r="AL282" s="13"/>
      <c r="AM282" s="221" t="s">
        <v>251</v>
      </c>
      <c r="AN282" s="237">
        <v>3</v>
      </c>
      <c r="AO282" s="221" t="s">
        <v>252</v>
      </c>
      <c r="AP282" s="312">
        <f>IFERROR(SUMPRODUCT(AQ278:AR278,AQ282:AR282)/AP278,)</f>
        <v>0</v>
      </c>
      <c r="AQ282" s="230">
        <v>3.8400000000010648</v>
      </c>
      <c r="AR282" s="230">
        <v>3.7500000000010734</v>
      </c>
      <c r="AS282" s="238" t="e">
        <f>AP272/((AP271*100)*(AP273*100)*7000*4.1868)*10000000-AP272/((AP271*100-((AU$298-$AN$298)/100)*100)*(AP273*100)*7000*4.1868)*10000000</f>
        <v>#DIV/0!</v>
      </c>
      <c r="AT282" s="238" t="e">
        <f t="shared" ref="AT282:AU282" si="197">AQ272/((AQ271*100)*(AQ273*100)*7000*4.1868)*10000000-AQ272/((AQ271*100-((AV$298-$AN$298)/100)*100)*(AQ273*100)*7000*4.1868)*10000000</f>
        <v>#DIV/0!</v>
      </c>
      <c r="AU282" s="238" t="e">
        <f t="shared" si="197"/>
        <v>#DIV/0!</v>
      </c>
      <c r="BP282" s="4"/>
    </row>
    <row r="283" spans="38:68" ht="16.149999999999999" x14ac:dyDescent="0.4">
      <c r="AL283" s="13"/>
      <c r="AM283" s="225" t="s">
        <v>253</v>
      </c>
      <c r="AN283" s="237">
        <v>2</v>
      </c>
      <c r="AO283" s="225" t="s">
        <v>254</v>
      </c>
      <c r="AP283" s="232">
        <f>IFERROR(SUMPRODUCT(AQ278:AR278,AQ283:AR283)/AP278,)</f>
        <v>0</v>
      </c>
      <c r="AQ283" s="230">
        <v>4.1100000000010395</v>
      </c>
      <c r="AR283" s="230">
        <v>3.7500000000010734</v>
      </c>
      <c r="AS283" s="236" t="e">
        <f>AP272/((AP271*100)*(AP273*100)*7000*4.1868)*10000000-AP272/((AP271*100-((AX$298-$AN$298)/100)*100)*(AP273*100)*7000*4.1868)*10000000</f>
        <v>#DIV/0!</v>
      </c>
      <c r="AT283" s="236" t="e">
        <f t="shared" ref="AT283:AU283" si="198">AQ272/((AQ271*100)*(AQ273*100)*7000*4.1868)*10000000-AQ272/((AQ271*100-((AY$298-$AN$298)/100)*100)*(AQ273*100)*7000*4.1868)*10000000</f>
        <v>#DIV/0!</v>
      </c>
      <c r="AU283" s="236" t="e">
        <f t="shared" si="198"/>
        <v>#DIV/0!</v>
      </c>
      <c r="BP283" s="4"/>
    </row>
    <row r="284" spans="38:68" ht="16.149999999999999" x14ac:dyDescent="0.4">
      <c r="AL284" s="13"/>
      <c r="AM284" s="221" t="s">
        <v>255</v>
      </c>
      <c r="AN284" s="228">
        <v>145</v>
      </c>
      <c r="AO284" s="221" t="s">
        <v>256</v>
      </c>
      <c r="AP284" s="312">
        <f>IFERROR(SUMPRODUCT(AQ278:AR278,AQ284:AR284)/AP278,)</f>
        <v>0</v>
      </c>
      <c r="AQ284" s="230">
        <v>136.12</v>
      </c>
      <c r="AR284" s="230">
        <v>137.75</v>
      </c>
      <c r="AS284" s="238" t="e">
        <f>AP272/((AP271*100)*(AP273*100)*7000*4.1868)*10000000-AP272/((AP271*100-((BA$298-$AN$298)/100)*100)*(AP273*100)*7000*4.1868)*10000000</f>
        <v>#DIV/0!</v>
      </c>
      <c r="AT284" s="238" t="e">
        <f t="shared" ref="AT284:AU284" si="199">AQ272/((AQ271*100)*(AQ273*100)*7000*4.1868)*10000000-AQ272/((AQ271*100-((BB$298-$AN$298)/100)*100)*(AQ273*100)*7000*4.1868)*10000000</f>
        <v>#DIV/0!</v>
      </c>
      <c r="AU284" s="238" t="e">
        <f t="shared" si="199"/>
        <v>#DIV/0!</v>
      </c>
      <c r="BP284" s="4"/>
    </row>
    <row r="285" spans="38:68" ht="16.149999999999999" x14ac:dyDescent="0.4">
      <c r="AL285" s="13"/>
      <c r="AM285" s="225" t="s">
        <v>257</v>
      </c>
      <c r="AN285" s="228">
        <v>21.5</v>
      </c>
      <c r="AO285" s="225" t="s">
        <v>258</v>
      </c>
      <c r="AP285" s="232">
        <f>IFERROR(SUMPRODUCT(AQ278:AR278,AQ285:AR285)/AP278,)</f>
        <v>0</v>
      </c>
      <c r="AQ285" s="230">
        <v>26</v>
      </c>
      <c r="AR285" s="230">
        <v>26</v>
      </c>
      <c r="AS285" s="236" t="e">
        <f>AP272/((AP271*100)*(AP273*100)*7000*4.1868)*10000000-AP272/((AP271*100-((BD$298-$AN$298)/100)*100)*(AP273*100)*7000*4.1868)*10000000</f>
        <v>#DIV/0!</v>
      </c>
      <c r="AT285" s="236" t="e">
        <f t="shared" ref="AT285:AU285" si="200">AQ272/((AQ271*100)*(AQ273*100)*7000*4.1868)*10000000-AQ272/((AQ271*100-((BE$298-$AN$298)/100)*100)*(AQ273*100)*7000*4.1868)*10000000</f>
        <v>#DIV/0!</v>
      </c>
      <c r="AU285" s="236" t="e">
        <f t="shared" si="200"/>
        <v>#DIV/0!</v>
      </c>
      <c r="BP285" s="4"/>
    </row>
    <row r="286" spans="38:68" ht="16.149999999999999" x14ac:dyDescent="0.4">
      <c r="AL286" s="13"/>
      <c r="AM286" s="221" t="s">
        <v>259</v>
      </c>
      <c r="AN286" s="228">
        <v>4.46</v>
      </c>
      <c r="AO286" s="221" t="s">
        <v>260</v>
      </c>
      <c r="AP286" s="311">
        <f>IFERROR(SUMPRODUCT(AQ278:AR278,AQ286:AR286)/AP278,)</f>
        <v>0</v>
      </c>
      <c r="AQ286" s="230">
        <v>1.71</v>
      </c>
      <c r="AR286" s="230">
        <v>1.6</v>
      </c>
      <c r="AS286" s="238" t="e">
        <f>AP272/((AP271*100)*(AP273*100)*7000*4.1868)*10000000-AP272/((AP271*100-((BG$298-$AN$298)/100)*100)*(AP273*100)*7000*4.1868)*10000000</f>
        <v>#DIV/0!</v>
      </c>
      <c r="AT286" s="238" t="e">
        <f t="shared" ref="AT286:AU286" si="201">AQ272/((AQ271*100)*(AQ273*100)*7000*4.1868)*10000000-AQ272/((AQ271*100-((BH$298-$AN$298)/100)*100)*(AQ273*100)*7000*4.1868)*10000000</f>
        <v>#DIV/0!</v>
      </c>
      <c r="AU286" s="238" t="e">
        <f t="shared" si="201"/>
        <v>#DIV/0!</v>
      </c>
      <c r="BP286" s="4"/>
    </row>
    <row r="287" spans="38:68" ht="16.149999999999999" x14ac:dyDescent="0.4">
      <c r="AL287" s="13"/>
      <c r="AM287" s="225" t="s">
        <v>261</v>
      </c>
      <c r="AN287" s="228">
        <v>240</v>
      </c>
      <c r="AO287" s="225" t="s">
        <v>262</v>
      </c>
      <c r="AP287" s="232">
        <f>IFERROR(SUMPRODUCT(AQ278:AR278,AQ287:AR287)/AP278,)</f>
        <v>0</v>
      </c>
      <c r="AQ287" s="230">
        <v>233.99</v>
      </c>
      <c r="AR287" s="230">
        <v>228.64</v>
      </c>
      <c r="AS287" s="236" t="e">
        <f>AP272/((AP271*100)*(AP273*100)*7000*4.1868)*10000000-AP272/((AP271*100-(-($AN$287-AP287)*0.02%)*100)*(AP273*100)*7000*4.1868)*10000000</f>
        <v>#DIV/0!</v>
      </c>
      <c r="AT287" s="236" t="e">
        <f t="shared" ref="AT287:AU287" si="202">AQ272/((AQ271*100)*(AQ273*100)*7000*4.1868)*10000000-AQ272/((AQ271*100-(-($AN$287-AQ287)*0.02%)*100)*(AQ273*100)*7000*4.1868)*10000000</f>
        <v>#DIV/0!</v>
      </c>
      <c r="AU287" s="236" t="e">
        <f t="shared" si="202"/>
        <v>#DIV/0!</v>
      </c>
      <c r="BP287" s="4"/>
    </row>
    <row r="288" spans="38:68" ht="16.149999999999999" x14ac:dyDescent="0.4">
      <c r="AL288" s="13"/>
      <c r="AM288" s="221" t="s">
        <v>263</v>
      </c>
      <c r="AN288" s="228">
        <v>480</v>
      </c>
      <c r="AO288" s="221" t="s">
        <v>264</v>
      </c>
      <c r="AP288" s="312">
        <f>IFERROR(SUMPRODUCT(AQ278:AR278,AQ288:AR288)/AP278,)</f>
        <v>0</v>
      </c>
      <c r="AQ288" s="230">
        <v>428.67</v>
      </c>
      <c r="AR288" s="230">
        <v>421.32</v>
      </c>
      <c r="AS288" s="238" t="e">
        <f>AP272/((AP271*100)*(AP273*100)*7000*4.1868)*10000000-AP272/((AP271*100-((BJ$298-$AN$298)/100)*100)*(AP273*100)*7000*4.1868)*10000000</f>
        <v>#DIV/0!</v>
      </c>
      <c r="AT288" s="238" t="e">
        <f t="shared" ref="AT288:AU288" si="203">AQ272/((AQ271*100)*(AQ273*100)*7000*4.1868)*10000000-AQ272/((AQ271*100-((BK$298-$AN$298)/100)*100)*(AQ273*100)*7000*4.1868)*10000000</f>
        <v>#DIV/0!</v>
      </c>
      <c r="AU288" s="238" t="e">
        <f t="shared" si="203"/>
        <v>#DIV/0!</v>
      </c>
      <c r="BP288" s="4"/>
    </row>
    <row r="289" spans="38:68" ht="16.149999999999999" x14ac:dyDescent="0.4">
      <c r="AL289" s="13"/>
      <c r="AM289" s="225" t="s">
        <v>265</v>
      </c>
      <c r="AN289" s="228">
        <v>886</v>
      </c>
      <c r="AO289" s="225" t="s">
        <v>266</v>
      </c>
      <c r="AP289" s="232">
        <f>IFERROR(SUMPRODUCT(AQ278:AR278,AQ289:AR289)/AP278,)</f>
        <v>0</v>
      </c>
      <c r="AQ289" s="230">
        <v>850</v>
      </c>
      <c r="AR289" s="230">
        <v>850</v>
      </c>
      <c r="AS289" s="236" t="e">
        <f>AP272/((AP271*100)*(AP273*100)*7000*4.1868)*10000000-AP272/((AP271*100-((BM$298-$AN$298)/100)*100)*(AP273*100)*7000*4.1868)*10000000</f>
        <v>#DIV/0!</v>
      </c>
      <c r="AT289" s="236" t="e">
        <f t="shared" ref="AT289:AU289" si="204">AQ272/((AQ271*100)*(AQ273*100)*7000*4.1868)*10000000-AQ272/((AQ271*100-((BN$298-$AN$298)/100)*100)*(AQ273*100)*7000*4.1868)*10000000</f>
        <v>#DIV/0!</v>
      </c>
      <c r="AU289" s="236" t="e">
        <f t="shared" si="204"/>
        <v>#DIV/0!</v>
      </c>
      <c r="BP289" s="4"/>
    </row>
    <row r="290" spans="38:68" ht="16.149999999999999" x14ac:dyDescent="0.4">
      <c r="AL290" s="13"/>
      <c r="AM290" s="221" t="s">
        <v>267</v>
      </c>
      <c r="AN290" s="228">
        <v>-93.08</v>
      </c>
      <c r="AO290" s="221" t="s">
        <v>268</v>
      </c>
      <c r="AP290" s="312">
        <f>IFERROR(SUMPRODUCT(AQ278:AR278,AQ290:AR290)/AP278,)</f>
        <v>0</v>
      </c>
      <c r="AQ290" s="230">
        <f>AQ274-AQ291</f>
        <v>-88.578136200717097</v>
      </c>
      <c r="AR290" s="230">
        <f>AR274-AR291</f>
        <v>-88.578136200717097</v>
      </c>
      <c r="AS290" s="231" t="s">
        <v>178</v>
      </c>
      <c r="AT290" s="231" t="s">
        <v>178</v>
      </c>
      <c r="AU290" s="231" t="s">
        <v>178</v>
      </c>
      <c r="BP290" s="4"/>
    </row>
    <row r="291" spans="38:68" ht="16.149999999999999" x14ac:dyDescent="0.4">
      <c r="AL291" s="13"/>
      <c r="AM291" s="225" t="s">
        <v>269</v>
      </c>
      <c r="AN291" s="228">
        <v>99.18</v>
      </c>
      <c r="AO291" s="225" t="s">
        <v>270</v>
      </c>
      <c r="AP291" s="232">
        <f>IFERROR(SUMPRODUCT(AQ278:AR278,AQ291:AR291)/AP278,)</f>
        <v>0</v>
      </c>
      <c r="AQ291" s="230">
        <v>100</v>
      </c>
      <c r="AR291" s="230">
        <v>100</v>
      </c>
      <c r="AS291" s="235" t="s">
        <v>178</v>
      </c>
      <c r="AT291" s="235" t="s">
        <v>178</v>
      </c>
      <c r="AU291" s="235" t="s">
        <v>178</v>
      </c>
      <c r="BP291" s="4"/>
    </row>
    <row r="292" spans="38:68" ht="16.149999999999999" x14ac:dyDescent="0.4">
      <c r="AL292" s="13"/>
      <c r="AM292" s="221" t="s">
        <v>271</v>
      </c>
      <c r="AN292" s="228">
        <v>13.24</v>
      </c>
      <c r="AO292" s="221" t="s">
        <v>272</v>
      </c>
      <c r="AP292" s="312">
        <f>IFERROR(SUMPRODUCT(AQ278:AR278,AQ292:AR292)/AP278,)</f>
        <v>0</v>
      </c>
      <c r="AQ292" s="230">
        <v>12.5</v>
      </c>
      <c r="AR292" s="230">
        <v>12.5</v>
      </c>
      <c r="AS292" s="231" t="e">
        <f>(AP276*(1*0+(AP274-$AN$274)/100*0+($AN$292-AP292)*0.25%*1+($AN$293-AP293)*0.04%*0+($AN$294-AP294)*0.02%*0))/((AP271*100)*(AP273*100)*7000*4.1868)*10000000</f>
        <v>#DIV/0!</v>
      </c>
      <c r="AT292" s="231" t="e">
        <f t="shared" ref="AT292:AU292" si="205">(AQ276*(1*0+(AQ274-$AN$274)/100*0+($AN$292-AQ292)*0.25%*1+($AN$293-AQ293)*0.04%*0+($AN$294-AQ294)*0.02%*0))/((AQ271*100)*(AQ273*100)*7000*4.1868)*10000000</f>
        <v>#DIV/0!</v>
      </c>
      <c r="AU292" s="231" t="e">
        <f t="shared" si="205"/>
        <v>#DIV/0!</v>
      </c>
      <c r="BP292" s="4"/>
    </row>
    <row r="293" spans="38:68" ht="16.149999999999999" x14ac:dyDescent="0.4">
      <c r="AL293" s="13"/>
      <c r="AM293" s="225" t="s">
        <v>273</v>
      </c>
      <c r="AN293" s="228">
        <v>535</v>
      </c>
      <c r="AO293" s="225" t="s">
        <v>274</v>
      </c>
      <c r="AP293" s="232">
        <f>IFERROR(SUMPRODUCT(AQ278:AR278,AQ293:AR293)/AP278,)</f>
        <v>0</v>
      </c>
      <c r="AQ293" s="230">
        <v>525.09</v>
      </c>
      <c r="AR293" s="230">
        <v>527.49</v>
      </c>
      <c r="AS293" s="232" t="e">
        <f>(AP276*(1*0+(AP274-$AN$274)/100*0+($AN$292-AP292)*0.25%*0+($AN$293-AP293)*0.04%*1+($AN$294-AP294)*0.02%*0))/((AP271*100)*(AP273*100)*7000*4.1868)*10000000</f>
        <v>#DIV/0!</v>
      </c>
      <c r="AT293" s="232" t="e">
        <f t="shared" ref="AT293:AU293" si="206">(AQ276*(1*0+(AQ274-$AN$274)/100*0+($AN$292-AQ292)*0.25%*0+($AN$293-AQ293)*0.04%*1+($AN$294-AQ294)*0.02%*0))/((AQ271*100)*(AQ273*100)*7000*4.1868)*10000000</f>
        <v>#DIV/0!</v>
      </c>
      <c r="AU293" s="232" t="e">
        <f t="shared" si="206"/>
        <v>#DIV/0!</v>
      </c>
      <c r="BP293" s="4"/>
    </row>
    <row r="294" spans="38:68" ht="16.149999999999999" x14ac:dyDescent="0.4">
      <c r="AL294" s="13"/>
      <c r="AM294" s="221" t="s">
        <v>275</v>
      </c>
      <c r="AN294" s="228">
        <v>535</v>
      </c>
      <c r="AO294" s="221" t="s">
        <v>276</v>
      </c>
      <c r="AP294" s="312">
        <f>IFERROR(SUMPRODUCT(AQ278:AR278,AQ294:AR294)/AP278,)</f>
        <v>0</v>
      </c>
      <c r="AQ294" s="230">
        <v>519.47</v>
      </c>
      <c r="AR294" s="230">
        <v>524.12</v>
      </c>
      <c r="AS294" s="231" t="e">
        <f>(AP276*(1*0+(AP274-$AN$274)/100*0+($AN$292-AP292)*0.25%*0+($AN$293-AP293)*0.04%*0+($AN$294-AP294)*0.02%*1))/((AP271*100)*(AP273*100)*7000*4.1868)*10000000</f>
        <v>#DIV/0!</v>
      </c>
      <c r="AT294" s="231" t="e">
        <f t="shared" ref="AT294:AU294" si="207">(AQ276*(1*0+(AQ274-$AN$274)/100*0+($AN$292-AQ292)*0.25%*0+($AN$293-AQ293)*0.04%*0+($AN$294-AQ294)*0.02%*1))/((AQ271*100)*(AQ273*100)*7000*4.1868)*10000000</f>
        <v>#DIV/0!</v>
      </c>
      <c r="AU294" s="231" t="e">
        <f t="shared" si="207"/>
        <v>#DIV/0!</v>
      </c>
      <c r="BP294" s="4"/>
    </row>
    <row r="295" spans="38:68" x14ac:dyDescent="0.4">
      <c r="AL295" s="13"/>
      <c r="AM295" s="239"/>
      <c r="AN295" s="239"/>
      <c r="AO295" s="239"/>
      <c r="AP295" s="239"/>
      <c r="AQ295" s="239"/>
      <c r="AR295" s="239"/>
      <c r="AS295" s="239"/>
      <c r="AT295" s="239"/>
      <c r="AU295" s="239"/>
      <c r="BP295" s="4"/>
    </row>
    <row r="296" spans="38:68" ht="16.899999999999999" x14ac:dyDescent="0.4">
      <c r="AL296" s="13"/>
      <c r="AM296" s="240" t="s">
        <v>277</v>
      </c>
      <c r="AN296" s="241">
        <f>AP270*AP277/1000/1000</f>
        <v>0</v>
      </c>
      <c r="AO296" s="240" t="s">
        <v>278</v>
      </c>
      <c r="AP296" s="313">
        <f>IFERROR(AP270*AP277/1000/1000*7000/AP279,0)</f>
        <v>0</v>
      </c>
      <c r="AQ296" s="243" t="e">
        <f t="shared" ref="AQ296:AR296" si="208">AQ270*AQ277/1000/1000*7000/AQ279</f>
        <v>#DIV/0!</v>
      </c>
      <c r="AR296" s="243" t="e">
        <f t="shared" si="208"/>
        <v>#DIV/0!</v>
      </c>
      <c r="AS296" s="244"/>
      <c r="AT296" s="244"/>
      <c r="AU296" s="244"/>
      <c r="BP296" s="4"/>
    </row>
    <row r="297" spans="38:68" ht="38.25" x14ac:dyDescent="0.4">
      <c r="AL297" s="13"/>
      <c r="AN297" s="246" t="s">
        <v>230</v>
      </c>
      <c r="AP297" s="246" t="s">
        <v>279</v>
      </c>
      <c r="AQ297" s="246" t="s">
        <v>280</v>
      </c>
      <c r="AR297" s="246" t="s">
        <v>281</v>
      </c>
      <c r="AS297" s="246" t="s">
        <v>282</v>
      </c>
      <c r="AT297" s="246" t="s">
        <v>283</v>
      </c>
      <c r="AU297" s="246" t="s">
        <v>284</v>
      </c>
      <c r="AV297" s="246" t="s">
        <v>285</v>
      </c>
      <c r="AW297" s="246" t="s">
        <v>286</v>
      </c>
      <c r="AX297" s="247" t="s">
        <v>287</v>
      </c>
      <c r="AY297" s="247" t="s">
        <v>288</v>
      </c>
      <c r="AZ297" s="247" t="s">
        <v>289</v>
      </c>
      <c r="BA297" s="247" t="s">
        <v>290</v>
      </c>
      <c r="BB297" s="247" t="s">
        <v>291</v>
      </c>
      <c r="BC297" s="247" t="s">
        <v>292</v>
      </c>
      <c r="BD297" s="247" t="s">
        <v>293</v>
      </c>
      <c r="BE297" s="247" t="s">
        <v>294</v>
      </c>
      <c r="BF297" s="247" t="s">
        <v>295</v>
      </c>
      <c r="BG297" s="247" t="s">
        <v>296</v>
      </c>
      <c r="BH297" s="247" t="s">
        <v>297</v>
      </c>
      <c r="BI297" s="247" t="s">
        <v>298</v>
      </c>
      <c r="BJ297" s="247" t="s">
        <v>299</v>
      </c>
      <c r="BK297" s="247" t="s">
        <v>300</v>
      </c>
      <c r="BL297" s="247" t="s">
        <v>301</v>
      </c>
      <c r="BM297" s="247" t="s">
        <v>302</v>
      </c>
      <c r="BN297" s="247" t="s">
        <v>303</v>
      </c>
      <c r="BO297" s="247" t="s">
        <v>304</v>
      </c>
      <c r="BP297" s="4"/>
    </row>
    <row r="298" spans="38:68" ht="19.149999999999999" x14ac:dyDescent="0.4">
      <c r="AL298" s="13"/>
      <c r="AN298" s="248">
        <f>100-SUM(AN299,AN307,AN316,AN320)</f>
        <v>90.112594112531241</v>
      </c>
      <c r="AP298" s="248" t="e">
        <f>100-SUM(AP299,AP307,AP316,AP320)</f>
        <v>#DIV/0!</v>
      </c>
      <c r="AQ298" s="248" t="e">
        <f t="shared" ref="AQ298:BO298" si="209">100-SUM(AQ299,AQ307,AQ316,AQ320)</f>
        <v>#DIV/0!</v>
      </c>
      <c r="AR298" s="248" t="e">
        <f t="shared" si="209"/>
        <v>#DIV/0!</v>
      </c>
      <c r="AS298" s="248" t="e">
        <f t="shared" si="209"/>
        <v>#DIV/0!</v>
      </c>
      <c r="AT298" s="248">
        <f t="shared" si="209"/>
        <v>93.332888315670246</v>
      </c>
      <c r="AU298" s="248">
        <f t="shared" si="209"/>
        <v>91.758815791301529</v>
      </c>
      <c r="AV298" s="248">
        <f t="shared" si="209"/>
        <v>89.718477316845778</v>
      </c>
      <c r="AW298" s="248">
        <f t="shared" si="209"/>
        <v>89.768160883593879</v>
      </c>
      <c r="AX298" s="248">
        <f t="shared" si="209"/>
        <v>90.886854595677775</v>
      </c>
      <c r="AY298" s="248">
        <f t="shared" si="209"/>
        <v>89.399375745840445</v>
      </c>
      <c r="AZ298" s="248">
        <f t="shared" si="209"/>
        <v>89.534742102447069</v>
      </c>
      <c r="BA298" s="248">
        <f t="shared" si="209"/>
        <v>97.514744790244222</v>
      </c>
      <c r="BB298" s="248">
        <f t="shared" si="209"/>
        <v>90.627880502120846</v>
      </c>
      <c r="BC298" s="248">
        <f t="shared" si="209"/>
        <v>90.545412174251027</v>
      </c>
      <c r="BD298" s="248">
        <f t="shared" si="209"/>
        <v>89.07226992172798</v>
      </c>
      <c r="BE298" s="248">
        <f t="shared" si="209"/>
        <v>90.410163739917849</v>
      </c>
      <c r="BF298" s="248">
        <f t="shared" si="209"/>
        <v>90.410163739917849</v>
      </c>
      <c r="BG298" s="248">
        <f t="shared" si="209"/>
        <v>91.360815291197099</v>
      </c>
      <c r="BH298" s="248">
        <f t="shared" si="209"/>
        <v>90.972164824634106</v>
      </c>
      <c r="BI298" s="248">
        <f t="shared" si="209"/>
        <v>90.999227662331108</v>
      </c>
      <c r="BJ298" s="248" t="e">
        <f t="shared" si="209"/>
        <v>#DIV/0!</v>
      </c>
      <c r="BK298" s="248">
        <f t="shared" si="209"/>
        <v>90.111878518951073</v>
      </c>
      <c r="BL298" s="248">
        <f t="shared" si="209"/>
        <v>90.100993110630014</v>
      </c>
      <c r="BM298" s="248">
        <f t="shared" si="209"/>
        <v>90.943567288470206</v>
      </c>
      <c r="BN298" s="248">
        <f t="shared" si="209"/>
        <v>90.209687175708297</v>
      </c>
      <c r="BO298" s="248">
        <f t="shared" si="209"/>
        <v>90.209687175708297</v>
      </c>
      <c r="BP298" s="4"/>
    </row>
    <row r="299" spans="38:68" ht="19.149999999999999" x14ac:dyDescent="0.4">
      <c r="AL299" s="13"/>
      <c r="AM299" s="249"/>
      <c r="AN299" s="250">
        <f>(AN303*AN300+AN304)*(AN301-AN302)/100</f>
        <v>6.109860096735189</v>
      </c>
      <c r="AO299" s="251" t="s">
        <v>305</v>
      </c>
      <c r="AP299" s="250">
        <f>(AP303*AP300+AP304)*(AP301-AP302)/100</f>
        <v>0</v>
      </c>
      <c r="AQ299" s="250">
        <f t="shared" ref="AQ299:BO299" si="210">(AQ303*AQ300+AQ304)*(AQ301-AQ302)/100</f>
        <v>4.7403320435458793</v>
      </c>
      <c r="AR299" s="250">
        <f t="shared" si="210"/>
        <v>4.7860105670103108</v>
      </c>
      <c r="AS299" s="250">
        <f t="shared" si="210"/>
        <v>6.109860096735189</v>
      </c>
      <c r="AT299" s="250">
        <f t="shared" si="210"/>
        <v>6.109860096735189</v>
      </c>
      <c r="AU299" s="250">
        <f t="shared" si="210"/>
        <v>6.109860096735189</v>
      </c>
      <c r="AV299" s="250">
        <f t="shared" si="210"/>
        <v>6.109860096735189</v>
      </c>
      <c r="AW299" s="250">
        <f t="shared" si="210"/>
        <v>6.109860096735189</v>
      </c>
      <c r="AX299" s="250">
        <f t="shared" si="210"/>
        <v>6.109860096735189</v>
      </c>
      <c r="AY299" s="250">
        <f t="shared" si="210"/>
        <v>6.109860096735189</v>
      </c>
      <c r="AZ299" s="250">
        <f t="shared" si="210"/>
        <v>6.109860096735189</v>
      </c>
      <c r="BA299" s="250">
        <f t="shared" si="210"/>
        <v>-1.0636598548972191</v>
      </c>
      <c r="BB299" s="250">
        <f t="shared" si="210"/>
        <v>5.6705438403869426</v>
      </c>
      <c r="BC299" s="250">
        <f t="shared" si="210"/>
        <v>5.7511840991535674</v>
      </c>
      <c r="BD299" s="250">
        <f t="shared" si="210"/>
        <v>7.1735199516324073</v>
      </c>
      <c r="BE299" s="250">
        <f t="shared" si="210"/>
        <v>5.8872336154776317</v>
      </c>
      <c r="BF299" s="250">
        <f t="shared" si="210"/>
        <v>5.8872336154776317</v>
      </c>
      <c r="BG299" s="250">
        <f t="shared" si="210"/>
        <v>4.9276499999999999</v>
      </c>
      <c r="BH299" s="250">
        <f t="shared" si="210"/>
        <v>5.3163004665629856</v>
      </c>
      <c r="BI299" s="250">
        <f t="shared" si="210"/>
        <v>5.2892376288659806</v>
      </c>
      <c r="BJ299" s="250">
        <f t="shared" si="210"/>
        <v>6.109860096735189</v>
      </c>
      <c r="BK299" s="250">
        <f t="shared" si="210"/>
        <v>6.109860096735189</v>
      </c>
      <c r="BL299" s="250">
        <f t="shared" si="210"/>
        <v>6.109860096735189</v>
      </c>
      <c r="BM299" s="250">
        <f t="shared" si="210"/>
        <v>6.109860096735189</v>
      </c>
      <c r="BN299" s="250">
        <f t="shared" si="210"/>
        <v>6.109860096735189</v>
      </c>
      <c r="BO299" s="250">
        <f t="shared" si="210"/>
        <v>6.109860096735189</v>
      </c>
      <c r="BP299" s="4"/>
    </row>
    <row r="300" spans="38:68" ht="19.149999999999999" x14ac:dyDescent="0.4">
      <c r="AL300" s="13"/>
      <c r="AM300" s="249"/>
      <c r="AN300" s="250">
        <f>21/(21-AN305)</f>
        <v>1.2696493349455866</v>
      </c>
      <c r="AO300" s="251" t="s">
        <v>306</v>
      </c>
      <c r="AP300" s="250">
        <f>21/(21-AP305)</f>
        <v>1</v>
      </c>
      <c r="AQ300" s="250">
        <f t="shared" ref="AQ300:BO300" si="211">21/(21-AQ305)</f>
        <v>1.088646967340591</v>
      </c>
      <c r="AR300" s="250">
        <f t="shared" si="211"/>
        <v>1.0824742268041239</v>
      </c>
      <c r="AS300" s="250">
        <f t="shared" si="211"/>
        <v>1.2696493349455866</v>
      </c>
      <c r="AT300" s="250">
        <f t="shared" si="211"/>
        <v>1.2696493349455866</v>
      </c>
      <c r="AU300" s="250">
        <f t="shared" si="211"/>
        <v>1.2696493349455866</v>
      </c>
      <c r="AV300" s="250">
        <f t="shared" si="211"/>
        <v>1.2696493349455866</v>
      </c>
      <c r="AW300" s="250">
        <f t="shared" si="211"/>
        <v>1.2696493349455866</v>
      </c>
      <c r="AX300" s="250">
        <f t="shared" si="211"/>
        <v>1.2696493349455866</v>
      </c>
      <c r="AY300" s="250">
        <f t="shared" si="211"/>
        <v>1.2696493349455866</v>
      </c>
      <c r="AZ300" s="250">
        <f t="shared" si="211"/>
        <v>1.2696493349455866</v>
      </c>
      <c r="BA300" s="250">
        <f t="shared" si="211"/>
        <v>1.2696493349455866</v>
      </c>
      <c r="BB300" s="250">
        <f t="shared" si="211"/>
        <v>1.2696493349455866</v>
      </c>
      <c r="BC300" s="250">
        <f t="shared" si="211"/>
        <v>1.2696493349455866</v>
      </c>
      <c r="BD300" s="250">
        <f t="shared" si="211"/>
        <v>1.2696493349455866</v>
      </c>
      <c r="BE300" s="250">
        <f t="shared" si="211"/>
        <v>1.2696493349455866</v>
      </c>
      <c r="BF300" s="250">
        <f t="shared" si="211"/>
        <v>1.2696493349455866</v>
      </c>
      <c r="BG300" s="250">
        <f t="shared" si="211"/>
        <v>1</v>
      </c>
      <c r="BH300" s="250">
        <f t="shared" si="211"/>
        <v>1.088646967340591</v>
      </c>
      <c r="BI300" s="250">
        <f t="shared" si="211"/>
        <v>1.0824742268041239</v>
      </c>
      <c r="BJ300" s="250">
        <f t="shared" si="211"/>
        <v>1.2696493349455866</v>
      </c>
      <c r="BK300" s="250">
        <f t="shared" si="211"/>
        <v>1.2696493349455866</v>
      </c>
      <c r="BL300" s="250">
        <f t="shared" si="211"/>
        <v>1.2696493349455866</v>
      </c>
      <c r="BM300" s="250">
        <f t="shared" si="211"/>
        <v>1.2696493349455866</v>
      </c>
      <c r="BN300" s="250">
        <f t="shared" si="211"/>
        <v>1.2696493349455866</v>
      </c>
      <c r="BO300" s="250">
        <f t="shared" si="211"/>
        <v>1.2696493349455866</v>
      </c>
      <c r="BP300" s="4"/>
    </row>
    <row r="301" spans="38:68" ht="19.149999999999999" x14ac:dyDescent="0.4">
      <c r="AL301" s="13"/>
      <c r="AM301" s="249"/>
      <c r="AN301" s="252">
        <f>AN284</f>
        <v>145</v>
      </c>
      <c r="AO301" s="251" t="s">
        <v>307</v>
      </c>
      <c r="AP301" s="252">
        <f t="shared" ref="AP301:AR302" si="212">AP284</f>
        <v>0</v>
      </c>
      <c r="AQ301" s="252">
        <f t="shared" si="212"/>
        <v>136.12</v>
      </c>
      <c r="AR301" s="252">
        <f t="shared" si="212"/>
        <v>137.75</v>
      </c>
      <c r="AS301" s="252">
        <f t="shared" ref="AS301:AZ301" si="213">$AN$301</f>
        <v>145</v>
      </c>
      <c r="AT301" s="252">
        <f t="shared" si="213"/>
        <v>145</v>
      </c>
      <c r="AU301" s="252">
        <f t="shared" si="213"/>
        <v>145</v>
      </c>
      <c r="AV301" s="252">
        <f t="shared" si="213"/>
        <v>145</v>
      </c>
      <c r="AW301" s="252">
        <f t="shared" si="213"/>
        <v>145</v>
      </c>
      <c r="AX301" s="252">
        <f t="shared" si="213"/>
        <v>145</v>
      </c>
      <c r="AY301" s="252">
        <f t="shared" si="213"/>
        <v>145</v>
      </c>
      <c r="AZ301" s="252">
        <f t="shared" si="213"/>
        <v>145</v>
      </c>
      <c r="BA301" s="252">
        <f>AP284</f>
        <v>0</v>
      </c>
      <c r="BB301" s="252">
        <f>AQ284</f>
        <v>136.12</v>
      </c>
      <c r="BC301" s="252">
        <f>AR284</f>
        <v>137.75</v>
      </c>
      <c r="BD301" s="252">
        <f t="shared" ref="BD301:BO301" si="214">$AN$301</f>
        <v>145</v>
      </c>
      <c r="BE301" s="252">
        <f t="shared" si="214"/>
        <v>145</v>
      </c>
      <c r="BF301" s="252">
        <f t="shared" si="214"/>
        <v>145</v>
      </c>
      <c r="BG301" s="252">
        <f t="shared" si="214"/>
        <v>145</v>
      </c>
      <c r="BH301" s="252">
        <f t="shared" si="214"/>
        <v>145</v>
      </c>
      <c r="BI301" s="252">
        <f t="shared" si="214"/>
        <v>145</v>
      </c>
      <c r="BJ301" s="252">
        <f t="shared" si="214"/>
        <v>145</v>
      </c>
      <c r="BK301" s="252">
        <f t="shared" si="214"/>
        <v>145</v>
      </c>
      <c r="BL301" s="252">
        <f t="shared" si="214"/>
        <v>145</v>
      </c>
      <c r="BM301" s="252">
        <f t="shared" si="214"/>
        <v>145</v>
      </c>
      <c r="BN301" s="252">
        <f t="shared" si="214"/>
        <v>145</v>
      </c>
      <c r="BO301" s="252">
        <f t="shared" si="214"/>
        <v>145</v>
      </c>
      <c r="BP301" s="4"/>
    </row>
    <row r="302" spans="38:68" ht="19.149999999999999" x14ac:dyDescent="0.4">
      <c r="AL302" s="13"/>
      <c r="AM302" s="249"/>
      <c r="AN302" s="252">
        <f>AN285</f>
        <v>21.5</v>
      </c>
      <c r="AO302" s="251" t="s">
        <v>308</v>
      </c>
      <c r="AP302" s="252">
        <f t="shared" si="212"/>
        <v>0</v>
      </c>
      <c r="AQ302" s="252">
        <f t="shared" si="212"/>
        <v>26</v>
      </c>
      <c r="AR302" s="252">
        <f t="shared" si="212"/>
        <v>26</v>
      </c>
      <c r="AS302" s="252">
        <f t="shared" ref="AS302:BC302" si="215">$AN$302</f>
        <v>21.5</v>
      </c>
      <c r="AT302" s="252">
        <f t="shared" si="215"/>
        <v>21.5</v>
      </c>
      <c r="AU302" s="252">
        <f t="shared" si="215"/>
        <v>21.5</v>
      </c>
      <c r="AV302" s="252">
        <f t="shared" si="215"/>
        <v>21.5</v>
      </c>
      <c r="AW302" s="252">
        <f t="shared" si="215"/>
        <v>21.5</v>
      </c>
      <c r="AX302" s="252">
        <f t="shared" si="215"/>
        <v>21.5</v>
      </c>
      <c r="AY302" s="252">
        <f t="shared" si="215"/>
        <v>21.5</v>
      </c>
      <c r="AZ302" s="252">
        <f t="shared" si="215"/>
        <v>21.5</v>
      </c>
      <c r="BA302" s="252">
        <f t="shared" si="215"/>
        <v>21.5</v>
      </c>
      <c r="BB302" s="252">
        <f t="shared" si="215"/>
        <v>21.5</v>
      </c>
      <c r="BC302" s="252">
        <f t="shared" si="215"/>
        <v>21.5</v>
      </c>
      <c r="BD302" s="252">
        <f>AP285</f>
        <v>0</v>
      </c>
      <c r="BE302" s="252">
        <f>AQ285</f>
        <v>26</v>
      </c>
      <c r="BF302" s="252">
        <f>AR285</f>
        <v>26</v>
      </c>
      <c r="BG302" s="252">
        <f t="shared" ref="BG302:BO302" si="216">$AN$302</f>
        <v>21.5</v>
      </c>
      <c r="BH302" s="252">
        <f t="shared" si="216"/>
        <v>21.5</v>
      </c>
      <c r="BI302" s="252">
        <f t="shared" si="216"/>
        <v>21.5</v>
      </c>
      <c r="BJ302" s="252">
        <f t="shared" si="216"/>
        <v>21.5</v>
      </c>
      <c r="BK302" s="252">
        <f t="shared" si="216"/>
        <v>21.5</v>
      </c>
      <c r="BL302" s="252">
        <f t="shared" si="216"/>
        <v>21.5</v>
      </c>
      <c r="BM302" s="252">
        <f t="shared" si="216"/>
        <v>21.5</v>
      </c>
      <c r="BN302" s="252">
        <f t="shared" si="216"/>
        <v>21.5</v>
      </c>
      <c r="BO302" s="252">
        <f t="shared" si="216"/>
        <v>21.5</v>
      </c>
      <c r="BP302" s="4"/>
    </row>
    <row r="303" spans="38:68" ht="19.149999999999999" x14ac:dyDescent="0.4">
      <c r="AL303" s="13"/>
      <c r="AM303" s="249"/>
      <c r="AN303" s="253">
        <v>3.55</v>
      </c>
      <c r="AO303" s="251" t="s">
        <v>309</v>
      </c>
      <c r="AP303" s="253">
        <v>3.55</v>
      </c>
      <c r="AQ303" s="253">
        <v>3.55</v>
      </c>
      <c r="AR303" s="253">
        <v>3.55</v>
      </c>
      <c r="AS303" s="253">
        <v>3.55</v>
      </c>
      <c r="AT303" s="253">
        <v>3.55</v>
      </c>
      <c r="AU303" s="253">
        <v>3.55</v>
      </c>
      <c r="AV303" s="253">
        <v>3.55</v>
      </c>
      <c r="AW303" s="253">
        <v>3.55</v>
      </c>
      <c r="AX303" s="253">
        <v>3.55</v>
      </c>
      <c r="AY303" s="253">
        <v>3.55</v>
      </c>
      <c r="AZ303" s="253">
        <v>3.55</v>
      </c>
      <c r="BA303" s="253">
        <v>3.55</v>
      </c>
      <c r="BB303" s="253">
        <v>3.55</v>
      </c>
      <c r="BC303" s="253">
        <v>3.55</v>
      </c>
      <c r="BD303" s="253">
        <v>3.55</v>
      </c>
      <c r="BE303" s="253">
        <v>3.55</v>
      </c>
      <c r="BF303" s="253">
        <v>3.55</v>
      </c>
      <c r="BG303" s="253">
        <v>3.55</v>
      </c>
      <c r="BH303" s="253">
        <v>3.55</v>
      </c>
      <c r="BI303" s="253">
        <v>3.55</v>
      </c>
      <c r="BJ303" s="253">
        <v>3.55</v>
      </c>
      <c r="BK303" s="253">
        <v>3.55</v>
      </c>
      <c r="BL303" s="253">
        <v>3.55</v>
      </c>
      <c r="BM303" s="253">
        <v>3.55</v>
      </c>
      <c r="BN303" s="253">
        <v>3.55</v>
      </c>
      <c r="BO303" s="253">
        <v>3.55</v>
      </c>
      <c r="BP303" s="4"/>
    </row>
    <row r="304" spans="38:68" ht="19.149999999999999" x14ac:dyDescent="0.4">
      <c r="AL304" s="13"/>
      <c r="AM304" s="249"/>
      <c r="AN304" s="253">
        <v>0.44</v>
      </c>
      <c r="AO304" s="251" t="s">
        <v>310</v>
      </c>
      <c r="AP304" s="253">
        <v>0.44</v>
      </c>
      <c r="AQ304" s="253">
        <v>0.44</v>
      </c>
      <c r="AR304" s="253">
        <v>0.44</v>
      </c>
      <c r="AS304" s="253">
        <v>0.44</v>
      </c>
      <c r="AT304" s="253">
        <v>0.44</v>
      </c>
      <c r="AU304" s="253">
        <v>0.44</v>
      </c>
      <c r="AV304" s="253">
        <v>0.44</v>
      </c>
      <c r="AW304" s="253">
        <v>0.44</v>
      </c>
      <c r="AX304" s="253">
        <v>0.44</v>
      </c>
      <c r="AY304" s="253">
        <v>0.44</v>
      </c>
      <c r="AZ304" s="253">
        <v>0.44</v>
      </c>
      <c r="BA304" s="253">
        <v>0.44</v>
      </c>
      <c r="BB304" s="253">
        <v>0.44</v>
      </c>
      <c r="BC304" s="253">
        <v>0.44</v>
      </c>
      <c r="BD304" s="253">
        <v>0.44</v>
      </c>
      <c r="BE304" s="253">
        <v>0.44</v>
      </c>
      <c r="BF304" s="253">
        <v>0.44</v>
      </c>
      <c r="BG304" s="253">
        <v>0.44</v>
      </c>
      <c r="BH304" s="253">
        <v>0.44</v>
      </c>
      <c r="BI304" s="253">
        <v>0.44</v>
      </c>
      <c r="BJ304" s="253">
        <v>0.44</v>
      </c>
      <c r="BK304" s="253">
        <v>0.44</v>
      </c>
      <c r="BL304" s="253">
        <v>0.44</v>
      </c>
      <c r="BM304" s="253">
        <v>0.44</v>
      </c>
      <c r="BN304" s="253">
        <v>0.44</v>
      </c>
      <c r="BO304" s="253">
        <v>0.44</v>
      </c>
      <c r="BP304" s="4"/>
    </row>
    <row r="305" spans="38:68" ht="19.149999999999999" x14ac:dyDescent="0.4">
      <c r="AL305" s="13"/>
      <c r="AM305" s="249"/>
      <c r="AN305" s="252">
        <f>AN286</f>
        <v>4.46</v>
      </c>
      <c r="AO305" s="251" t="s">
        <v>311</v>
      </c>
      <c r="AP305" s="252">
        <f>AP286</f>
        <v>0</v>
      </c>
      <c r="AQ305" s="252">
        <f>AQ286</f>
        <v>1.71</v>
      </c>
      <c r="AR305" s="252">
        <f>AR286</f>
        <v>1.6</v>
      </c>
      <c r="AS305" s="252">
        <f t="shared" ref="AS305:BF305" si="217">$AN$305</f>
        <v>4.46</v>
      </c>
      <c r="AT305" s="252">
        <f t="shared" si="217"/>
        <v>4.46</v>
      </c>
      <c r="AU305" s="252">
        <f t="shared" si="217"/>
        <v>4.46</v>
      </c>
      <c r="AV305" s="252">
        <f t="shared" si="217"/>
        <v>4.46</v>
      </c>
      <c r="AW305" s="252">
        <f t="shared" si="217"/>
        <v>4.46</v>
      </c>
      <c r="AX305" s="252">
        <f t="shared" si="217"/>
        <v>4.46</v>
      </c>
      <c r="AY305" s="252">
        <f t="shared" si="217"/>
        <v>4.46</v>
      </c>
      <c r="AZ305" s="252">
        <f t="shared" si="217"/>
        <v>4.46</v>
      </c>
      <c r="BA305" s="252">
        <f t="shared" si="217"/>
        <v>4.46</v>
      </c>
      <c r="BB305" s="252">
        <f t="shared" si="217"/>
        <v>4.46</v>
      </c>
      <c r="BC305" s="252">
        <f t="shared" si="217"/>
        <v>4.46</v>
      </c>
      <c r="BD305" s="252">
        <f t="shared" si="217"/>
        <v>4.46</v>
      </c>
      <c r="BE305" s="252">
        <f t="shared" si="217"/>
        <v>4.46</v>
      </c>
      <c r="BF305" s="252">
        <f t="shared" si="217"/>
        <v>4.46</v>
      </c>
      <c r="BG305" s="252">
        <f>AP286</f>
        <v>0</v>
      </c>
      <c r="BH305" s="252">
        <f>AQ286</f>
        <v>1.71</v>
      </c>
      <c r="BI305" s="252">
        <f>AR286</f>
        <v>1.6</v>
      </c>
      <c r="BJ305" s="252">
        <f t="shared" ref="BJ305:BO305" si="218">$AN$305</f>
        <v>4.46</v>
      </c>
      <c r="BK305" s="252">
        <f t="shared" si="218"/>
        <v>4.46</v>
      </c>
      <c r="BL305" s="252">
        <f t="shared" si="218"/>
        <v>4.46</v>
      </c>
      <c r="BM305" s="252">
        <f t="shared" si="218"/>
        <v>4.46</v>
      </c>
      <c r="BN305" s="252">
        <f t="shared" si="218"/>
        <v>4.46</v>
      </c>
      <c r="BO305" s="252">
        <f t="shared" si="218"/>
        <v>4.46</v>
      </c>
      <c r="BP305" s="4"/>
    </row>
    <row r="306" spans="38:68" ht="19.149999999999999" x14ac:dyDescent="0.4">
      <c r="AL306" s="13"/>
      <c r="AM306" s="254"/>
      <c r="AN306" s="255"/>
      <c r="AO306" s="256"/>
      <c r="AP306" s="255"/>
      <c r="AQ306" s="255"/>
      <c r="AR306" s="255"/>
      <c r="AS306" s="255"/>
      <c r="AT306" s="255"/>
      <c r="AU306" s="255"/>
      <c r="AV306" s="255"/>
      <c r="AW306" s="255"/>
      <c r="AX306" s="255"/>
      <c r="AY306" s="255"/>
      <c r="AZ306" s="255"/>
      <c r="BA306" s="255"/>
      <c r="BB306" s="255"/>
      <c r="BC306" s="255"/>
      <c r="BD306" s="255"/>
      <c r="BE306" s="255"/>
      <c r="BF306" s="255"/>
      <c r="BG306" s="255"/>
      <c r="BH306" s="255"/>
      <c r="BI306" s="255"/>
      <c r="BJ306" s="255"/>
      <c r="BK306" s="255"/>
      <c r="BL306" s="255"/>
      <c r="BM306" s="255"/>
      <c r="BN306" s="255"/>
      <c r="BO306" s="255"/>
      <c r="BP306" s="4"/>
    </row>
    <row r="307" spans="38:68" ht="19.149999999999999" x14ac:dyDescent="0.4">
      <c r="AL307" s="13"/>
      <c r="AM307" s="249"/>
      <c r="AN307" s="250">
        <f>337.27*AN308/AN309*AN310</f>
        <v>2.1898592673124528</v>
      </c>
      <c r="AO307" s="251" t="s">
        <v>312</v>
      </c>
      <c r="AP307" s="250" t="e">
        <f>337.27*AP308/AP309*AP310</f>
        <v>#DIV/0!</v>
      </c>
      <c r="AQ307" s="250" t="e">
        <f t="shared" ref="AQ307:BO307" si="219">337.27*AQ308/AQ309*AQ310</f>
        <v>#DIV/0!</v>
      </c>
      <c r="AR307" s="250" t="e">
        <f t="shared" si="219"/>
        <v>#DIV/0!</v>
      </c>
      <c r="AS307" s="250" t="e">
        <f t="shared" si="219"/>
        <v>#DIV/0!</v>
      </c>
      <c r="AT307" s="250">
        <f t="shared" si="219"/>
        <v>0</v>
      </c>
      <c r="AU307" s="250">
        <f t="shared" si="219"/>
        <v>0.69332141633393052</v>
      </c>
      <c r="AV307" s="250">
        <f t="shared" si="219"/>
        <v>2.7282947581199637</v>
      </c>
      <c r="AW307" s="250">
        <f t="shared" si="219"/>
        <v>2.6787418358362309</v>
      </c>
      <c r="AX307" s="250">
        <f t="shared" si="219"/>
        <v>1.5760553845529035</v>
      </c>
      <c r="AY307" s="250">
        <f t="shared" si="219"/>
        <v>3.032182196895453</v>
      </c>
      <c r="AZ307" s="250">
        <f t="shared" si="219"/>
        <v>2.899668997554437</v>
      </c>
      <c r="BA307" s="250">
        <f t="shared" si="219"/>
        <v>2.269376800886834</v>
      </c>
      <c r="BB307" s="250">
        <f t="shared" si="219"/>
        <v>2.269376800886834</v>
      </c>
      <c r="BC307" s="250">
        <f t="shared" si="219"/>
        <v>2.269376800886834</v>
      </c>
      <c r="BD307" s="250">
        <f t="shared" si="219"/>
        <v>2.269376800886834</v>
      </c>
      <c r="BE307" s="250">
        <f t="shared" si="219"/>
        <v>2.269376800886834</v>
      </c>
      <c r="BF307" s="250">
        <f t="shared" si="219"/>
        <v>2.269376800886834</v>
      </c>
      <c r="BG307" s="250">
        <f t="shared" si="219"/>
        <v>2.269376800886834</v>
      </c>
      <c r="BH307" s="250">
        <f t="shared" si="219"/>
        <v>2.269376800886834</v>
      </c>
      <c r="BI307" s="250">
        <f t="shared" si="219"/>
        <v>2.269376800886834</v>
      </c>
      <c r="BJ307" s="250">
        <f t="shared" si="219"/>
        <v>2.269376800886834</v>
      </c>
      <c r="BK307" s="250">
        <f t="shared" si="219"/>
        <v>2.269376800886834</v>
      </c>
      <c r="BL307" s="250">
        <f t="shared" si="219"/>
        <v>2.269376800886834</v>
      </c>
      <c r="BM307" s="250">
        <f t="shared" si="219"/>
        <v>2.269376800886834</v>
      </c>
      <c r="BN307" s="250">
        <f t="shared" si="219"/>
        <v>2.269376800886834</v>
      </c>
      <c r="BO307" s="250">
        <f t="shared" si="219"/>
        <v>2.269376800886834</v>
      </c>
      <c r="BP307" s="4"/>
    </row>
    <row r="308" spans="38:68" ht="19.149999999999999" x14ac:dyDescent="0.4">
      <c r="AL308" s="13"/>
      <c r="AM308" s="249"/>
      <c r="AN308" s="252">
        <f>AN281</f>
        <v>39.61</v>
      </c>
      <c r="AO308" s="251" t="s">
        <v>313</v>
      </c>
      <c r="AP308" s="252">
        <f>AP281</f>
        <v>0</v>
      </c>
      <c r="AQ308" s="252">
        <f>AQ281</f>
        <v>0</v>
      </c>
      <c r="AR308" s="252">
        <f>AR281</f>
        <v>0</v>
      </c>
      <c r="AS308" s="252">
        <f>$AN$308</f>
        <v>39.61</v>
      </c>
      <c r="AT308" s="252">
        <f>AP281</f>
        <v>0</v>
      </c>
      <c r="AU308" s="252">
        <f t="shared" ref="AU308:BO308" si="220">$AN$308</f>
        <v>39.61</v>
      </c>
      <c r="AV308" s="252">
        <f t="shared" si="220"/>
        <v>39.61</v>
      </c>
      <c r="AW308" s="252">
        <f t="shared" si="220"/>
        <v>39.61</v>
      </c>
      <c r="AX308" s="252">
        <f t="shared" si="220"/>
        <v>39.61</v>
      </c>
      <c r="AY308" s="252">
        <f t="shared" si="220"/>
        <v>39.61</v>
      </c>
      <c r="AZ308" s="252">
        <f t="shared" si="220"/>
        <v>39.61</v>
      </c>
      <c r="BA308" s="252">
        <f t="shared" si="220"/>
        <v>39.61</v>
      </c>
      <c r="BB308" s="252">
        <f t="shared" si="220"/>
        <v>39.61</v>
      </c>
      <c r="BC308" s="252">
        <f t="shared" si="220"/>
        <v>39.61</v>
      </c>
      <c r="BD308" s="252">
        <f t="shared" si="220"/>
        <v>39.61</v>
      </c>
      <c r="BE308" s="252">
        <f t="shared" si="220"/>
        <v>39.61</v>
      </c>
      <c r="BF308" s="252">
        <f t="shared" si="220"/>
        <v>39.61</v>
      </c>
      <c r="BG308" s="252">
        <f t="shared" si="220"/>
        <v>39.61</v>
      </c>
      <c r="BH308" s="252">
        <f t="shared" si="220"/>
        <v>39.61</v>
      </c>
      <c r="BI308" s="252">
        <f t="shared" si="220"/>
        <v>39.61</v>
      </c>
      <c r="BJ308" s="252">
        <f t="shared" si="220"/>
        <v>39.61</v>
      </c>
      <c r="BK308" s="252">
        <f t="shared" si="220"/>
        <v>39.61</v>
      </c>
      <c r="BL308" s="252">
        <f t="shared" si="220"/>
        <v>39.61</v>
      </c>
      <c r="BM308" s="252">
        <f t="shared" si="220"/>
        <v>39.61</v>
      </c>
      <c r="BN308" s="252">
        <f t="shared" si="220"/>
        <v>39.61</v>
      </c>
      <c r="BO308" s="252">
        <f t="shared" si="220"/>
        <v>39.61</v>
      </c>
      <c r="BP308" s="4"/>
    </row>
    <row r="309" spans="38:68" ht="19.149999999999999" x14ac:dyDescent="0.4">
      <c r="AL309" s="13"/>
      <c r="AM309" s="249"/>
      <c r="AN309" s="252">
        <f>AN279*4.1868</f>
        <v>15729.388919999999</v>
      </c>
      <c r="AO309" s="251" t="s">
        <v>314</v>
      </c>
      <c r="AP309" s="252">
        <f>AP279*4.1868</f>
        <v>0</v>
      </c>
      <c r="AQ309" s="252">
        <f>AQ279*4.1868</f>
        <v>0</v>
      </c>
      <c r="AR309" s="252">
        <f>AR279*4.1868</f>
        <v>0</v>
      </c>
      <c r="AS309" s="252">
        <f>AP279*4.1868</f>
        <v>0</v>
      </c>
      <c r="AT309" s="252">
        <f t="shared" ref="AT309:BO309" si="221">$AN$309</f>
        <v>15729.388919999999</v>
      </c>
      <c r="AU309" s="252">
        <f t="shared" si="221"/>
        <v>15729.388919999999</v>
      </c>
      <c r="AV309" s="252">
        <f t="shared" si="221"/>
        <v>15729.388919999999</v>
      </c>
      <c r="AW309" s="252">
        <f t="shared" si="221"/>
        <v>15729.388919999999</v>
      </c>
      <c r="AX309" s="252">
        <f t="shared" si="221"/>
        <v>15729.388919999999</v>
      </c>
      <c r="AY309" s="252">
        <f t="shared" si="221"/>
        <v>15729.388919999999</v>
      </c>
      <c r="AZ309" s="252">
        <f t="shared" si="221"/>
        <v>15729.388919999999</v>
      </c>
      <c r="BA309" s="252">
        <f t="shared" si="221"/>
        <v>15729.388919999999</v>
      </c>
      <c r="BB309" s="252">
        <f t="shared" si="221"/>
        <v>15729.388919999999</v>
      </c>
      <c r="BC309" s="252">
        <f t="shared" si="221"/>
        <v>15729.388919999999</v>
      </c>
      <c r="BD309" s="252">
        <f t="shared" si="221"/>
        <v>15729.388919999999</v>
      </c>
      <c r="BE309" s="252">
        <f t="shared" si="221"/>
        <v>15729.388919999999</v>
      </c>
      <c r="BF309" s="252">
        <f t="shared" si="221"/>
        <v>15729.388919999999</v>
      </c>
      <c r="BG309" s="252">
        <f t="shared" si="221"/>
        <v>15729.388919999999</v>
      </c>
      <c r="BH309" s="252">
        <f t="shared" si="221"/>
        <v>15729.388919999999</v>
      </c>
      <c r="BI309" s="252">
        <f t="shared" si="221"/>
        <v>15729.388919999999</v>
      </c>
      <c r="BJ309" s="252">
        <f t="shared" si="221"/>
        <v>15729.388919999999</v>
      </c>
      <c r="BK309" s="252">
        <f t="shared" si="221"/>
        <v>15729.388919999999</v>
      </c>
      <c r="BL309" s="252">
        <f t="shared" si="221"/>
        <v>15729.388919999999</v>
      </c>
      <c r="BM309" s="252">
        <f t="shared" si="221"/>
        <v>15729.388919999999</v>
      </c>
      <c r="BN309" s="252">
        <f t="shared" si="221"/>
        <v>15729.388919999999</v>
      </c>
      <c r="BO309" s="252">
        <f t="shared" si="221"/>
        <v>15729.388919999999</v>
      </c>
      <c r="BP309" s="4"/>
    </row>
    <row r="310" spans="38:68" ht="19.149999999999999" x14ac:dyDescent="0.4">
      <c r="AL310" s="13"/>
      <c r="AM310" s="249"/>
      <c r="AN310" s="250">
        <f>(AN311*AN313/(100-AN313)+AN312*AN314/(100-AN314))*100</f>
        <v>2.5783715548074895</v>
      </c>
      <c r="AO310" s="251" t="s">
        <v>315</v>
      </c>
      <c r="AP310" s="250">
        <f>(AP311*AP313/(100-AP313)+AP312*AP314/(100-AP314))*100</f>
        <v>0</v>
      </c>
      <c r="AQ310" s="250">
        <f t="shared" ref="AQ310:BO310" si="222">(AQ311*AQ313/(100-AQ313)+AQ312*AQ314/(100-AQ314))*100</f>
        <v>4.1104711461372885</v>
      </c>
      <c r="AR310" s="250">
        <f t="shared" si="222"/>
        <v>3.8961038961050547</v>
      </c>
      <c r="AS310" s="250">
        <f t="shared" si="222"/>
        <v>2.671996633705028</v>
      </c>
      <c r="AT310" s="250">
        <f t="shared" si="222"/>
        <v>2.671996633705028</v>
      </c>
      <c r="AU310" s="250">
        <f t="shared" si="222"/>
        <v>0.81632653061224492</v>
      </c>
      <c r="AV310" s="250">
        <f t="shared" si="222"/>
        <v>3.2123331861869788</v>
      </c>
      <c r="AW310" s="250">
        <f t="shared" si="222"/>
        <v>3.1539888682752779</v>
      </c>
      <c r="AX310" s="250">
        <f t="shared" si="222"/>
        <v>1.8556701030927831</v>
      </c>
      <c r="AY310" s="250">
        <f t="shared" si="222"/>
        <v>3.5701345936553377</v>
      </c>
      <c r="AZ310" s="250">
        <f t="shared" si="222"/>
        <v>3.4141116615348048</v>
      </c>
      <c r="BA310" s="250">
        <f t="shared" si="222"/>
        <v>2.671996633705028</v>
      </c>
      <c r="BB310" s="250">
        <f t="shared" si="222"/>
        <v>2.671996633705028</v>
      </c>
      <c r="BC310" s="250">
        <f t="shared" si="222"/>
        <v>2.671996633705028</v>
      </c>
      <c r="BD310" s="250">
        <f t="shared" si="222"/>
        <v>2.671996633705028</v>
      </c>
      <c r="BE310" s="250">
        <f t="shared" si="222"/>
        <v>2.671996633705028</v>
      </c>
      <c r="BF310" s="250">
        <f t="shared" si="222"/>
        <v>2.671996633705028</v>
      </c>
      <c r="BG310" s="250">
        <f t="shared" si="222"/>
        <v>2.671996633705028</v>
      </c>
      <c r="BH310" s="250">
        <f t="shared" si="222"/>
        <v>2.671996633705028</v>
      </c>
      <c r="BI310" s="250">
        <f t="shared" si="222"/>
        <v>2.671996633705028</v>
      </c>
      <c r="BJ310" s="250">
        <f t="shared" si="222"/>
        <v>2.671996633705028</v>
      </c>
      <c r="BK310" s="250">
        <f t="shared" si="222"/>
        <v>2.671996633705028</v>
      </c>
      <c r="BL310" s="250">
        <f t="shared" si="222"/>
        <v>2.671996633705028</v>
      </c>
      <c r="BM310" s="250">
        <f t="shared" si="222"/>
        <v>2.671996633705028</v>
      </c>
      <c r="BN310" s="250">
        <f t="shared" si="222"/>
        <v>2.671996633705028</v>
      </c>
      <c r="BO310" s="250">
        <f t="shared" si="222"/>
        <v>2.671996633705028</v>
      </c>
      <c r="BP310" s="4"/>
    </row>
    <row r="311" spans="38:68" ht="19.149999999999999" x14ac:dyDescent="0.4">
      <c r="AL311" s="13"/>
      <c r="AM311" s="249"/>
      <c r="AN311" s="253">
        <v>0.51100000000000001</v>
      </c>
      <c r="AO311" s="251" t="s">
        <v>316</v>
      </c>
      <c r="AP311" s="253">
        <f>$C$67/100</f>
        <v>0.6</v>
      </c>
      <c r="AQ311" s="253">
        <f t="shared" ref="AQ311:BO311" si="223">$AP$311</f>
        <v>0.6</v>
      </c>
      <c r="AR311" s="253">
        <f t="shared" si="223"/>
        <v>0.6</v>
      </c>
      <c r="AS311" s="253">
        <f t="shared" si="223"/>
        <v>0.6</v>
      </c>
      <c r="AT311" s="253">
        <f t="shared" si="223"/>
        <v>0.6</v>
      </c>
      <c r="AU311" s="253">
        <f t="shared" si="223"/>
        <v>0.6</v>
      </c>
      <c r="AV311" s="253">
        <f t="shared" si="223"/>
        <v>0.6</v>
      </c>
      <c r="AW311" s="253">
        <f t="shared" si="223"/>
        <v>0.6</v>
      </c>
      <c r="AX311" s="253">
        <f t="shared" si="223"/>
        <v>0.6</v>
      </c>
      <c r="AY311" s="253">
        <f t="shared" si="223"/>
        <v>0.6</v>
      </c>
      <c r="AZ311" s="253">
        <f t="shared" si="223"/>
        <v>0.6</v>
      </c>
      <c r="BA311" s="253">
        <f t="shared" si="223"/>
        <v>0.6</v>
      </c>
      <c r="BB311" s="253">
        <f t="shared" si="223"/>
        <v>0.6</v>
      </c>
      <c r="BC311" s="253">
        <f t="shared" si="223"/>
        <v>0.6</v>
      </c>
      <c r="BD311" s="253">
        <f t="shared" si="223"/>
        <v>0.6</v>
      </c>
      <c r="BE311" s="253">
        <f t="shared" si="223"/>
        <v>0.6</v>
      </c>
      <c r="BF311" s="253">
        <f t="shared" si="223"/>
        <v>0.6</v>
      </c>
      <c r="BG311" s="253">
        <f t="shared" si="223"/>
        <v>0.6</v>
      </c>
      <c r="BH311" s="253">
        <f t="shared" si="223"/>
        <v>0.6</v>
      </c>
      <c r="BI311" s="253">
        <f t="shared" si="223"/>
        <v>0.6</v>
      </c>
      <c r="BJ311" s="253">
        <f t="shared" si="223"/>
        <v>0.6</v>
      </c>
      <c r="BK311" s="253">
        <f t="shared" si="223"/>
        <v>0.6</v>
      </c>
      <c r="BL311" s="253">
        <f t="shared" si="223"/>
        <v>0.6</v>
      </c>
      <c r="BM311" s="253">
        <f t="shared" si="223"/>
        <v>0.6</v>
      </c>
      <c r="BN311" s="253">
        <f t="shared" si="223"/>
        <v>0.6</v>
      </c>
      <c r="BO311" s="253">
        <f t="shared" si="223"/>
        <v>0.6</v>
      </c>
      <c r="BP311" s="4"/>
    </row>
    <row r="312" spans="38:68" ht="19.149999999999999" x14ac:dyDescent="0.4">
      <c r="AL312" s="13"/>
      <c r="AM312" s="249"/>
      <c r="AN312" s="253">
        <f>1-AN311</f>
        <v>0.48899999999999999</v>
      </c>
      <c r="AO312" s="251" t="s">
        <v>317</v>
      </c>
      <c r="AP312" s="253">
        <f>1-AP311</f>
        <v>0.4</v>
      </c>
      <c r="AQ312" s="253">
        <f t="shared" ref="AQ312:BO312" si="224">$AP$312</f>
        <v>0.4</v>
      </c>
      <c r="AR312" s="253">
        <f t="shared" si="224"/>
        <v>0.4</v>
      </c>
      <c r="AS312" s="253">
        <f t="shared" si="224"/>
        <v>0.4</v>
      </c>
      <c r="AT312" s="253">
        <f t="shared" si="224"/>
        <v>0.4</v>
      </c>
      <c r="AU312" s="253">
        <f t="shared" si="224"/>
        <v>0.4</v>
      </c>
      <c r="AV312" s="253">
        <f t="shared" si="224"/>
        <v>0.4</v>
      </c>
      <c r="AW312" s="253">
        <f t="shared" si="224"/>
        <v>0.4</v>
      </c>
      <c r="AX312" s="253">
        <f t="shared" si="224"/>
        <v>0.4</v>
      </c>
      <c r="AY312" s="253">
        <f t="shared" si="224"/>
        <v>0.4</v>
      </c>
      <c r="AZ312" s="253">
        <f t="shared" si="224"/>
        <v>0.4</v>
      </c>
      <c r="BA312" s="253">
        <f t="shared" si="224"/>
        <v>0.4</v>
      </c>
      <c r="BB312" s="253">
        <f t="shared" si="224"/>
        <v>0.4</v>
      </c>
      <c r="BC312" s="253">
        <f t="shared" si="224"/>
        <v>0.4</v>
      </c>
      <c r="BD312" s="253">
        <f t="shared" si="224"/>
        <v>0.4</v>
      </c>
      <c r="BE312" s="253">
        <f t="shared" si="224"/>
        <v>0.4</v>
      </c>
      <c r="BF312" s="253">
        <f t="shared" si="224"/>
        <v>0.4</v>
      </c>
      <c r="BG312" s="253">
        <f t="shared" si="224"/>
        <v>0.4</v>
      </c>
      <c r="BH312" s="253">
        <f t="shared" si="224"/>
        <v>0.4</v>
      </c>
      <c r="BI312" s="253">
        <f t="shared" si="224"/>
        <v>0.4</v>
      </c>
      <c r="BJ312" s="253">
        <f t="shared" si="224"/>
        <v>0.4</v>
      </c>
      <c r="BK312" s="253">
        <f t="shared" si="224"/>
        <v>0.4</v>
      </c>
      <c r="BL312" s="253">
        <f t="shared" si="224"/>
        <v>0.4</v>
      </c>
      <c r="BM312" s="253">
        <f t="shared" si="224"/>
        <v>0.4</v>
      </c>
      <c r="BN312" s="253">
        <f t="shared" si="224"/>
        <v>0.4</v>
      </c>
      <c r="BO312" s="253">
        <f t="shared" si="224"/>
        <v>0.4</v>
      </c>
      <c r="BP312" s="4"/>
    </row>
    <row r="313" spans="38:68" ht="19.149999999999999" x14ac:dyDescent="0.4">
      <c r="AL313" s="13"/>
      <c r="AM313" s="249"/>
      <c r="AN313" s="252">
        <f>AN282</f>
        <v>3</v>
      </c>
      <c r="AO313" s="251" t="s">
        <v>318</v>
      </c>
      <c r="AP313" s="252">
        <f t="shared" ref="AP313:AR314" si="225">AP282</f>
        <v>0</v>
      </c>
      <c r="AQ313" s="252">
        <f t="shared" si="225"/>
        <v>3.8400000000010648</v>
      </c>
      <c r="AR313" s="252">
        <f t="shared" si="225"/>
        <v>3.7500000000010734</v>
      </c>
      <c r="AS313" s="252">
        <f>$AN$313</f>
        <v>3</v>
      </c>
      <c r="AT313" s="252">
        <f>$AN$313</f>
        <v>3</v>
      </c>
      <c r="AU313" s="252">
        <f>AP282</f>
        <v>0</v>
      </c>
      <c r="AV313" s="252">
        <f>AQ282</f>
        <v>3.8400000000010648</v>
      </c>
      <c r="AW313" s="252">
        <f>AR282</f>
        <v>3.7500000000010734</v>
      </c>
      <c r="AX313" s="252">
        <f t="shared" ref="AX313:BO313" si="226">$AN$313</f>
        <v>3</v>
      </c>
      <c r="AY313" s="252">
        <f t="shared" si="226"/>
        <v>3</v>
      </c>
      <c r="AZ313" s="252">
        <f t="shared" si="226"/>
        <v>3</v>
      </c>
      <c r="BA313" s="252">
        <f t="shared" si="226"/>
        <v>3</v>
      </c>
      <c r="BB313" s="252">
        <f t="shared" si="226"/>
        <v>3</v>
      </c>
      <c r="BC313" s="252">
        <f t="shared" si="226"/>
        <v>3</v>
      </c>
      <c r="BD313" s="252">
        <f t="shared" si="226"/>
        <v>3</v>
      </c>
      <c r="BE313" s="252">
        <f t="shared" si="226"/>
        <v>3</v>
      </c>
      <c r="BF313" s="252">
        <f t="shared" si="226"/>
        <v>3</v>
      </c>
      <c r="BG313" s="252">
        <f t="shared" si="226"/>
        <v>3</v>
      </c>
      <c r="BH313" s="252">
        <f t="shared" si="226"/>
        <v>3</v>
      </c>
      <c r="BI313" s="252">
        <f t="shared" si="226"/>
        <v>3</v>
      </c>
      <c r="BJ313" s="252">
        <f t="shared" si="226"/>
        <v>3</v>
      </c>
      <c r="BK313" s="252">
        <f t="shared" si="226"/>
        <v>3</v>
      </c>
      <c r="BL313" s="252">
        <f t="shared" si="226"/>
        <v>3</v>
      </c>
      <c r="BM313" s="252">
        <f t="shared" si="226"/>
        <v>3</v>
      </c>
      <c r="BN313" s="252">
        <f t="shared" si="226"/>
        <v>3</v>
      </c>
      <c r="BO313" s="252">
        <f t="shared" si="226"/>
        <v>3</v>
      </c>
      <c r="BP313" s="4"/>
    </row>
    <row r="314" spans="38:68" ht="19.149999999999999" x14ac:dyDescent="0.4">
      <c r="AL314" s="13"/>
      <c r="AM314" s="249"/>
      <c r="AN314" s="252">
        <f>AN283</f>
        <v>2</v>
      </c>
      <c r="AO314" s="251" t="s">
        <v>319</v>
      </c>
      <c r="AP314" s="252">
        <f t="shared" si="225"/>
        <v>0</v>
      </c>
      <c r="AQ314" s="252">
        <f t="shared" si="225"/>
        <v>4.1100000000010395</v>
      </c>
      <c r="AR314" s="252">
        <f t="shared" si="225"/>
        <v>3.7500000000010734</v>
      </c>
      <c r="AS314" s="252">
        <f>$AN$314</f>
        <v>2</v>
      </c>
      <c r="AT314" s="252">
        <f>$AN$314</f>
        <v>2</v>
      </c>
      <c r="AU314" s="252">
        <f>$AN$314</f>
        <v>2</v>
      </c>
      <c r="AV314" s="252">
        <f>$AN$314</f>
        <v>2</v>
      </c>
      <c r="AW314" s="252">
        <f>$AN$314</f>
        <v>2</v>
      </c>
      <c r="AX314" s="252">
        <f>AP283</f>
        <v>0</v>
      </c>
      <c r="AY314" s="252">
        <f>AQ283</f>
        <v>4.1100000000010395</v>
      </c>
      <c r="AZ314" s="252">
        <f>AR283</f>
        <v>3.7500000000010734</v>
      </c>
      <c r="BA314" s="252">
        <f t="shared" ref="BA314:BO314" si="227">$AN$314</f>
        <v>2</v>
      </c>
      <c r="BB314" s="252">
        <f t="shared" si="227"/>
        <v>2</v>
      </c>
      <c r="BC314" s="252">
        <f t="shared" si="227"/>
        <v>2</v>
      </c>
      <c r="BD314" s="252">
        <f t="shared" si="227"/>
        <v>2</v>
      </c>
      <c r="BE314" s="252">
        <f t="shared" si="227"/>
        <v>2</v>
      </c>
      <c r="BF314" s="252">
        <f t="shared" si="227"/>
        <v>2</v>
      </c>
      <c r="BG314" s="252">
        <f t="shared" si="227"/>
        <v>2</v>
      </c>
      <c r="BH314" s="252">
        <f t="shared" si="227"/>
        <v>2</v>
      </c>
      <c r="BI314" s="252">
        <f t="shared" si="227"/>
        <v>2</v>
      </c>
      <c r="BJ314" s="252">
        <f t="shared" si="227"/>
        <v>2</v>
      </c>
      <c r="BK314" s="252">
        <f t="shared" si="227"/>
        <v>2</v>
      </c>
      <c r="BL314" s="252">
        <f t="shared" si="227"/>
        <v>2</v>
      </c>
      <c r="BM314" s="252">
        <f t="shared" si="227"/>
        <v>2</v>
      </c>
      <c r="BN314" s="252">
        <f t="shared" si="227"/>
        <v>2</v>
      </c>
      <c r="BO314" s="252">
        <f t="shared" si="227"/>
        <v>2</v>
      </c>
      <c r="BP314" s="4"/>
    </row>
    <row r="315" spans="38:68" ht="19.149999999999999" x14ac:dyDescent="0.4">
      <c r="AL315" s="13"/>
      <c r="AM315" s="254"/>
      <c r="AN315" s="255"/>
      <c r="AO315" s="256"/>
      <c r="AP315" s="255"/>
      <c r="AQ315" s="255"/>
      <c r="AR315" s="255"/>
      <c r="AS315" s="255"/>
      <c r="AT315" s="255"/>
      <c r="AU315" s="255"/>
      <c r="AV315" s="255"/>
      <c r="AW315" s="255"/>
      <c r="AX315" s="255"/>
      <c r="AY315" s="255"/>
      <c r="AZ315" s="255"/>
      <c r="BA315" s="255"/>
      <c r="BB315" s="255"/>
      <c r="BC315" s="255"/>
      <c r="BD315" s="255"/>
      <c r="BE315" s="255"/>
      <c r="BF315" s="255"/>
      <c r="BG315" s="255"/>
      <c r="BH315" s="255"/>
      <c r="BI315" s="255"/>
      <c r="BJ315" s="255"/>
      <c r="BK315" s="255"/>
      <c r="BL315" s="255"/>
      <c r="BM315" s="255"/>
      <c r="BN315" s="255"/>
      <c r="BO315" s="255"/>
      <c r="BP315" s="4"/>
    </row>
    <row r="316" spans="38:68" ht="19.149999999999999" x14ac:dyDescent="0.4">
      <c r="AL316" s="13"/>
      <c r="AM316" s="249"/>
      <c r="AN316" s="250">
        <f>5.82*POWER(AN317,-0.38)*AN317/AN318</f>
        <v>0.55725158759456617</v>
      </c>
      <c r="AO316" s="251" t="s">
        <v>320</v>
      </c>
      <c r="AP316" s="250" t="e">
        <f>5.82*POWER(AP317,-0.38)*AP317/AP318</f>
        <v>#DIV/0!</v>
      </c>
      <c r="AQ316" s="250">
        <f t="shared" ref="AQ316:BO316" si="228">5.82*POWER(AQ317,-0.38)*AQ317/AQ318</f>
        <v>0.62397826310539983</v>
      </c>
      <c r="AR316" s="250">
        <f t="shared" si="228"/>
        <v>0.63486367142644962</v>
      </c>
      <c r="AS316" s="250">
        <f t="shared" si="228"/>
        <v>0.55725158759456617</v>
      </c>
      <c r="AT316" s="250">
        <f t="shared" si="228"/>
        <v>0.55725158759456617</v>
      </c>
      <c r="AU316" s="250">
        <f t="shared" si="228"/>
        <v>0.55725158759456617</v>
      </c>
      <c r="AV316" s="250">
        <f t="shared" si="228"/>
        <v>0.55725158759456617</v>
      </c>
      <c r="AW316" s="250">
        <f t="shared" si="228"/>
        <v>0.55725158759456617</v>
      </c>
      <c r="AX316" s="250">
        <f t="shared" si="228"/>
        <v>0.55725158759456617</v>
      </c>
      <c r="AY316" s="250">
        <f t="shared" si="228"/>
        <v>0.55725158759456617</v>
      </c>
      <c r="AZ316" s="250">
        <f t="shared" si="228"/>
        <v>0.55725158759456617</v>
      </c>
      <c r="BA316" s="250">
        <f t="shared" si="228"/>
        <v>0.55725158759456617</v>
      </c>
      <c r="BB316" s="250">
        <f t="shared" si="228"/>
        <v>0.55725158759456617</v>
      </c>
      <c r="BC316" s="250">
        <f t="shared" si="228"/>
        <v>0.55725158759456617</v>
      </c>
      <c r="BD316" s="250">
        <f t="shared" si="228"/>
        <v>0.55725158759456617</v>
      </c>
      <c r="BE316" s="250">
        <f t="shared" si="228"/>
        <v>0.55725158759456617</v>
      </c>
      <c r="BF316" s="250">
        <f t="shared" si="228"/>
        <v>0.55725158759456617</v>
      </c>
      <c r="BG316" s="250">
        <f t="shared" si="228"/>
        <v>0.55725158759456617</v>
      </c>
      <c r="BH316" s="250">
        <f t="shared" si="228"/>
        <v>0.55725158759456617</v>
      </c>
      <c r="BI316" s="250">
        <f t="shared" si="228"/>
        <v>0.55725158759456617</v>
      </c>
      <c r="BJ316" s="250" t="e">
        <f t="shared" si="228"/>
        <v>#DIV/0!</v>
      </c>
      <c r="BK316" s="250">
        <f t="shared" si="228"/>
        <v>0.62397826310539983</v>
      </c>
      <c r="BL316" s="250">
        <f t="shared" si="228"/>
        <v>0.63486367142644962</v>
      </c>
      <c r="BM316" s="250">
        <f t="shared" si="228"/>
        <v>0.55725158759456617</v>
      </c>
      <c r="BN316" s="250">
        <f t="shared" si="228"/>
        <v>0.55725158759456617</v>
      </c>
      <c r="BO316" s="250">
        <f t="shared" si="228"/>
        <v>0.55725158759456617</v>
      </c>
      <c r="BP316" s="4"/>
    </row>
    <row r="317" spans="38:68" ht="19.149999999999999" x14ac:dyDescent="0.4">
      <c r="AL317" s="13"/>
      <c r="AM317" s="249"/>
      <c r="AN317" s="253">
        <f>$AN$288</f>
        <v>480</v>
      </c>
      <c r="AO317" s="251" t="s">
        <v>321</v>
      </c>
      <c r="AP317" s="253">
        <f t="shared" ref="AP317:BO317" si="229">$AN$288</f>
        <v>480</v>
      </c>
      <c r="AQ317" s="253">
        <f t="shared" si="229"/>
        <v>480</v>
      </c>
      <c r="AR317" s="253">
        <f t="shared" si="229"/>
        <v>480</v>
      </c>
      <c r="AS317" s="253">
        <f t="shared" si="229"/>
        <v>480</v>
      </c>
      <c r="AT317" s="253">
        <f t="shared" si="229"/>
        <v>480</v>
      </c>
      <c r="AU317" s="253">
        <f t="shared" si="229"/>
        <v>480</v>
      </c>
      <c r="AV317" s="253">
        <f t="shared" si="229"/>
        <v>480</v>
      </c>
      <c r="AW317" s="253">
        <f t="shared" si="229"/>
        <v>480</v>
      </c>
      <c r="AX317" s="253">
        <f t="shared" si="229"/>
        <v>480</v>
      </c>
      <c r="AY317" s="253">
        <f t="shared" si="229"/>
        <v>480</v>
      </c>
      <c r="AZ317" s="253">
        <f t="shared" si="229"/>
        <v>480</v>
      </c>
      <c r="BA317" s="253">
        <f t="shared" si="229"/>
        <v>480</v>
      </c>
      <c r="BB317" s="253">
        <f t="shared" si="229"/>
        <v>480</v>
      </c>
      <c r="BC317" s="253">
        <f t="shared" si="229"/>
        <v>480</v>
      </c>
      <c r="BD317" s="253">
        <f t="shared" si="229"/>
        <v>480</v>
      </c>
      <c r="BE317" s="253">
        <f t="shared" si="229"/>
        <v>480</v>
      </c>
      <c r="BF317" s="253">
        <f t="shared" si="229"/>
        <v>480</v>
      </c>
      <c r="BG317" s="253">
        <f t="shared" si="229"/>
        <v>480</v>
      </c>
      <c r="BH317" s="253">
        <f t="shared" si="229"/>
        <v>480</v>
      </c>
      <c r="BI317" s="253">
        <f t="shared" si="229"/>
        <v>480</v>
      </c>
      <c r="BJ317" s="253">
        <f t="shared" si="229"/>
        <v>480</v>
      </c>
      <c r="BK317" s="253">
        <f t="shared" si="229"/>
        <v>480</v>
      </c>
      <c r="BL317" s="253">
        <f t="shared" si="229"/>
        <v>480</v>
      </c>
      <c r="BM317" s="253">
        <f t="shared" si="229"/>
        <v>480</v>
      </c>
      <c r="BN317" s="253">
        <f t="shared" si="229"/>
        <v>480</v>
      </c>
      <c r="BO317" s="253">
        <f t="shared" si="229"/>
        <v>480</v>
      </c>
      <c r="BP317" s="4"/>
    </row>
    <row r="318" spans="38:68" ht="19.149999999999999" x14ac:dyDescent="0.4">
      <c r="AL318" s="13"/>
      <c r="AM318" s="249"/>
      <c r="AN318" s="252">
        <f>AN288</f>
        <v>480</v>
      </c>
      <c r="AO318" s="251" t="s">
        <v>322</v>
      </c>
      <c r="AP318" s="252">
        <f>AP288</f>
        <v>0</v>
      </c>
      <c r="AQ318" s="252">
        <f>AQ288</f>
        <v>428.67</v>
      </c>
      <c r="AR318" s="252">
        <f>AR288</f>
        <v>421.32</v>
      </c>
      <c r="AS318" s="252">
        <f t="shared" ref="AS318:BI318" si="230">$AN$318</f>
        <v>480</v>
      </c>
      <c r="AT318" s="252">
        <f t="shared" si="230"/>
        <v>480</v>
      </c>
      <c r="AU318" s="252">
        <f t="shared" si="230"/>
        <v>480</v>
      </c>
      <c r="AV318" s="252">
        <f t="shared" si="230"/>
        <v>480</v>
      </c>
      <c r="AW318" s="252">
        <f t="shared" si="230"/>
        <v>480</v>
      </c>
      <c r="AX318" s="252">
        <f t="shared" si="230"/>
        <v>480</v>
      </c>
      <c r="AY318" s="252">
        <f t="shared" si="230"/>
        <v>480</v>
      </c>
      <c r="AZ318" s="252">
        <f t="shared" si="230"/>
        <v>480</v>
      </c>
      <c r="BA318" s="252">
        <f t="shared" si="230"/>
        <v>480</v>
      </c>
      <c r="BB318" s="252">
        <f t="shared" si="230"/>
        <v>480</v>
      </c>
      <c r="BC318" s="252">
        <f t="shared" si="230"/>
        <v>480</v>
      </c>
      <c r="BD318" s="252">
        <f t="shared" si="230"/>
        <v>480</v>
      </c>
      <c r="BE318" s="252">
        <f t="shared" si="230"/>
        <v>480</v>
      </c>
      <c r="BF318" s="252">
        <f t="shared" si="230"/>
        <v>480</v>
      </c>
      <c r="BG318" s="252">
        <f t="shared" si="230"/>
        <v>480</v>
      </c>
      <c r="BH318" s="252">
        <f t="shared" si="230"/>
        <v>480</v>
      </c>
      <c r="BI318" s="252">
        <f t="shared" si="230"/>
        <v>480</v>
      </c>
      <c r="BJ318" s="252">
        <f>AP288</f>
        <v>0</v>
      </c>
      <c r="BK318" s="252">
        <f>AQ288</f>
        <v>428.67</v>
      </c>
      <c r="BL318" s="252">
        <f>AR288</f>
        <v>421.32</v>
      </c>
      <c r="BM318" s="252">
        <f>$AN$318</f>
        <v>480</v>
      </c>
      <c r="BN318" s="252">
        <f>$AN$318</f>
        <v>480</v>
      </c>
      <c r="BO318" s="252">
        <f>$AN$318</f>
        <v>480</v>
      </c>
      <c r="BP318" s="4"/>
    </row>
    <row r="319" spans="38:68" ht="19.149999999999999" x14ac:dyDescent="0.4">
      <c r="AL319" s="13"/>
      <c r="AM319" s="257"/>
      <c r="AN319" s="255"/>
      <c r="AO319" s="258"/>
      <c r="AP319" s="255"/>
      <c r="AQ319" s="255"/>
      <c r="AR319" s="255"/>
      <c r="AS319" s="255"/>
      <c r="AT319" s="255"/>
      <c r="AU319" s="255"/>
      <c r="AV319" s="255"/>
      <c r="AW319" s="255"/>
      <c r="AX319" s="255"/>
      <c r="AY319" s="255"/>
      <c r="AZ319" s="255"/>
      <c r="BA319" s="255"/>
      <c r="BB319" s="255"/>
      <c r="BC319" s="255"/>
      <c r="BD319" s="255"/>
      <c r="BE319" s="255"/>
      <c r="BF319" s="255"/>
      <c r="BG319" s="255"/>
      <c r="BH319" s="255"/>
      <c r="BI319" s="255"/>
      <c r="BJ319" s="255"/>
      <c r="BK319" s="255"/>
      <c r="BL319" s="255"/>
      <c r="BM319" s="255"/>
      <c r="BN319" s="255"/>
      <c r="BO319" s="255"/>
      <c r="BP319" s="4"/>
    </row>
    <row r="320" spans="38:68" ht="19.149999999999999" x14ac:dyDescent="0.4">
      <c r="AL320" s="13"/>
      <c r="AM320" s="249"/>
      <c r="AN320" s="250">
        <f>100*AN326/AN327*(AN331*(AN323-AN324)*AN322/(100-AN329)+AN330*(AN325-AN324)*AN321/(100-AN328))</f>
        <v>1.0304349358265557</v>
      </c>
      <c r="AO320" s="251" t="s">
        <v>323</v>
      </c>
      <c r="AP320" s="250" t="e">
        <f>100*AP326/AP327*(AP331*(AP323-AP324)*AP322/(100-AP329)+AP330*(AP325-AP324)*AP321/(100-AP328))</f>
        <v>#DIV/0!</v>
      </c>
      <c r="AQ320" s="250" t="e">
        <f t="shared" ref="AQ320:BO320" si="231">100*AQ326/AQ327*(AQ331*(AQ323-AQ324)*AQ322/(100-AQ329)+AQ330*(AQ325-AQ324)*AQ321/(100-AQ328))</f>
        <v>#DIV/0!</v>
      </c>
      <c r="AR320" s="250" t="e">
        <f t="shared" si="231"/>
        <v>#DIV/0!</v>
      </c>
      <c r="AS320" s="250" t="e">
        <f t="shared" si="231"/>
        <v>#DIV/0!</v>
      </c>
      <c r="AT320" s="250">
        <f t="shared" si="231"/>
        <v>0</v>
      </c>
      <c r="AU320" s="250">
        <f t="shared" si="231"/>
        <v>0.88075110803478052</v>
      </c>
      <c r="AV320" s="250">
        <f t="shared" si="231"/>
        <v>0.88611624070449968</v>
      </c>
      <c r="AW320" s="250">
        <f t="shared" si="231"/>
        <v>0.88598559624013962</v>
      </c>
      <c r="AX320" s="250">
        <f t="shared" si="231"/>
        <v>0.86997833543956216</v>
      </c>
      <c r="AY320" s="250">
        <f t="shared" si="231"/>
        <v>0.90133037293435603</v>
      </c>
      <c r="AZ320" s="250">
        <f t="shared" si="231"/>
        <v>0.89847721566873928</v>
      </c>
      <c r="BA320" s="250">
        <f t="shared" si="231"/>
        <v>0.72228667617159492</v>
      </c>
      <c r="BB320" s="250">
        <f t="shared" si="231"/>
        <v>0.87494726901080955</v>
      </c>
      <c r="BC320" s="250">
        <f t="shared" si="231"/>
        <v>0.87677533811401209</v>
      </c>
      <c r="BD320" s="250">
        <f t="shared" si="231"/>
        <v>0.9275817381582212</v>
      </c>
      <c r="BE320" s="250">
        <f t="shared" si="231"/>
        <v>0.87597425612312574</v>
      </c>
      <c r="BF320" s="250">
        <f t="shared" si="231"/>
        <v>0.87597425612312574</v>
      </c>
      <c r="BG320" s="250">
        <f t="shared" si="231"/>
        <v>0.88490632032150762</v>
      </c>
      <c r="BH320" s="250">
        <f t="shared" si="231"/>
        <v>0.88490632032150762</v>
      </c>
      <c r="BI320" s="250">
        <f t="shared" si="231"/>
        <v>0.88490632032150762</v>
      </c>
      <c r="BJ320" s="250">
        <f t="shared" si="231"/>
        <v>0.88490632032150762</v>
      </c>
      <c r="BK320" s="250">
        <f t="shared" si="231"/>
        <v>0.88490632032150762</v>
      </c>
      <c r="BL320" s="250">
        <f t="shared" si="231"/>
        <v>0.88490632032150762</v>
      </c>
      <c r="BM320" s="250">
        <f t="shared" si="231"/>
        <v>0.11994422631319915</v>
      </c>
      <c r="BN320" s="250">
        <f t="shared" si="231"/>
        <v>0.85382433907512045</v>
      </c>
      <c r="BO320" s="250">
        <f t="shared" si="231"/>
        <v>0.85382433907512045</v>
      </c>
      <c r="BP320" s="4"/>
    </row>
    <row r="321" spans="38:68" ht="19.149999999999999" x14ac:dyDescent="0.4">
      <c r="AL321" s="13"/>
      <c r="AM321" s="249"/>
      <c r="AN321" s="253">
        <v>0.72</v>
      </c>
      <c r="AO321" s="251" t="s">
        <v>324</v>
      </c>
      <c r="AP321" s="253">
        <v>0.72</v>
      </c>
      <c r="AQ321" s="253">
        <v>0.72</v>
      </c>
      <c r="AR321" s="253">
        <v>0.72</v>
      </c>
      <c r="AS321" s="253">
        <v>0.72</v>
      </c>
      <c r="AT321" s="253">
        <v>0.72</v>
      </c>
      <c r="AU321" s="253">
        <v>0.72</v>
      </c>
      <c r="AV321" s="253">
        <v>0.72</v>
      </c>
      <c r="AW321" s="253">
        <v>0.72</v>
      </c>
      <c r="AX321" s="253">
        <v>0.72</v>
      </c>
      <c r="AY321" s="253">
        <v>0.72</v>
      </c>
      <c r="AZ321" s="253">
        <v>0.72</v>
      </c>
      <c r="BA321" s="253">
        <v>0.72</v>
      </c>
      <c r="BB321" s="253">
        <v>0.72</v>
      </c>
      <c r="BC321" s="253">
        <v>0.72</v>
      </c>
      <c r="BD321" s="253">
        <v>0.72</v>
      </c>
      <c r="BE321" s="253">
        <v>0.72</v>
      </c>
      <c r="BF321" s="253">
        <v>0.72</v>
      </c>
      <c r="BG321" s="253">
        <v>0.72</v>
      </c>
      <c r="BH321" s="253">
        <v>0.72</v>
      </c>
      <c r="BI321" s="253">
        <v>0.72</v>
      </c>
      <c r="BJ321" s="253">
        <v>0.72</v>
      </c>
      <c r="BK321" s="253">
        <v>0.72</v>
      </c>
      <c r="BL321" s="253">
        <v>0.72</v>
      </c>
      <c r="BM321" s="253">
        <v>0.72</v>
      </c>
      <c r="BN321" s="253">
        <v>0.72</v>
      </c>
      <c r="BO321" s="253">
        <v>0.72</v>
      </c>
      <c r="BP321" s="4"/>
    </row>
    <row r="322" spans="38:68" ht="19.149999999999999" x14ac:dyDescent="0.4">
      <c r="AL322" s="13"/>
      <c r="AM322" s="249"/>
      <c r="AN322" s="253">
        <v>0.84</v>
      </c>
      <c r="AO322" s="251" t="s">
        <v>325</v>
      </c>
      <c r="AP322" s="253">
        <v>0.84</v>
      </c>
      <c r="AQ322" s="253">
        <v>0.84</v>
      </c>
      <c r="AR322" s="253">
        <v>0.84</v>
      </c>
      <c r="AS322" s="253">
        <v>0.84</v>
      </c>
      <c r="AT322" s="253">
        <v>0.84</v>
      </c>
      <c r="AU322" s="253">
        <v>0.84</v>
      </c>
      <c r="AV322" s="253">
        <v>0.84</v>
      </c>
      <c r="AW322" s="253">
        <v>0.84</v>
      </c>
      <c r="AX322" s="253">
        <v>0.84</v>
      </c>
      <c r="AY322" s="253">
        <v>0.84</v>
      </c>
      <c r="AZ322" s="253">
        <v>0.84</v>
      </c>
      <c r="BA322" s="253">
        <v>0.84</v>
      </c>
      <c r="BB322" s="253">
        <v>0.84</v>
      </c>
      <c r="BC322" s="253">
        <v>0.84</v>
      </c>
      <c r="BD322" s="253">
        <v>0.84</v>
      </c>
      <c r="BE322" s="253">
        <v>0.84</v>
      </c>
      <c r="BF322" s="253">
        <v>0.84</v>
      </c>
      <c r="BG322" s="253">
        <v>0.84</v>
      </c>
      <c r="BH322" s="253">
        <v>0.84</v>
      </c>
      <c r="BI322" s="253">
        <v>0.84</v>
      </c>
      <c r="BJ322" s="253">
        <v>0.84</v>
      </c>
      <c r="BK322" s="253">
        <v>0.84</v>
      </c>
      <c r="BL322" s="253">
        <v>0.84</v>
      </c>
      <c r="BM322" s="253">
        <v>0.84</v>
      </c>
      <c r="BN322" s="253">
        <v>0.84</v>
      </c>
      <c r="BO322" s="253">
        <v>0.84</v>
      </c>
      <c r="BP322" s="4"/>
    </row>
    <row r="323" spans="38:68" ht="19.149999999999999" x14ac:dyDescent="0.4">
      <c r="AL323" s="13"/>
      <c r="AM323" s="249"/>
      <c r="AN323" s="252">
        <f>AN289</f>
        <v>886</v>
      </c>
      <c r="AO323" s="251" t="s">
        <v>326</v>
      </c>
      <c r="AP323" s="252">
        <f>AP289</f>
        <v>0</v>
      </c>
      <c r="AQ323" s="252">
        <f>AQ289</f>
        <v>850</v>
      </c>
      <c r="AR323" s="252">
        <f>AR289</f>
        <v>850</v>
      </c>
      <c r="AS323" s="252">
        <f t="shared" ref="AS323:BL323" si="232">$AN$323</f>
        <v>886</v>
      </c>
      <c r="AT323" s="252">
        <f t="shared" si="232"/>
        <v>886</v>
      </c>
      <c r="AU323" s="252">
        <f t="shared" si="232"/>
        <v>886</v>
      </c>
      <c r="AV323" s="252">
        <f t="shared" si="232"/>
        <v>886</v>
      </c>
      <c r="AW323" s="252">
        <f t="shared" si="232"/>
        <v>886</v>
      </c>
      <c r="AX323" s="252">
        <f t="shared" si="232"/>
        <v>886</v>
      </c>
      <c r="AY323" s="252">
        <f t="shared" si="232"/>
        <v>886</v>
      </c>
      <c r="AZ323" s="252">
        <f t="shared" si="232"/>
        <v>886</v>
      </c>
      <c r="BA323" s="252">
        <f t="shared" si="232"/>
        <v>886</v>
      </c>
      <c r="BB323" s="252">
        <f t="shared" si="232"/>
        <v>886</v>
      </c>
      <c r="BC323" s="252">
        <f t="shared" si="232"/>
        <v>886</v>
      </c>
      <c r="BD323" s="252">
        <f t="shared" si="232"/>
        <v>886</v>
      </c>
      <c r="BE323" s="252">
        <f t="shared" si="232"/>
        <v>886</v>
      </c>
      <c r="BF323" s="252">
        <f t="shared" si="232"/>
        <v>886</v>
      </c>
      <c r="BG323" s="252">
        <f t="shared" si="232"/>
        <v>886</v>
      </c>
      <c r="BH323" s="252">
        <f t="shared" si="232"/>
        <v>886</v>
      </c>
      <c r="BI323" s="252">
        <f t="shared" si="232"/>
        <v>886</v>
      </c>
      <c r="BJ323" s="252">
        <f t="shared" si="232"/>
        <v>886</v>
      </c>
      <c r="BK323" s="252">
        <f t="shared" si="232"/>
        <v>886</v>
      </c>
      <c r="BL323" s="252">
        <f t="shared" si="232"/>
        <v>886</v>
      </c>
      <c r="BM323" s="252">
        <f>AP289</f>
        <v>0</v>
      </c>
      <c r="BN323" s="252">
        <f>AQ289</f>
        <v>850</v>
      </c>
      <c r="BO323" s="252">
        <f>AR289</f>
        <v>850</v>
      </c>
      <c r="BP323" s="4"/>
    </row>
    <row r="324" spans="38:68" ht="19.149999999999999" x14ac:dyDescent="0.4">
      <c r="AL324" s="13"/>
      <c r="AM324" s="249"/>
      <c r="AN324" s="250">
        <f>AN302</f>
        <v>21.5</v>
      </c>
      <c r="AO324" s="251" t="s">
        <v>327</v>
      </c>
      <c r="AP324" s="250">
        <f>AP302</f>
        <v>0</v>
      </c>
      <c r="AQ324" s="250">
        <f t="shared" ref="AQ324:BO324" si="233">AQ302</f>
        <v>26</v>
      </c>
      <c r="AR324" s="250">
        <f t="shared" si="233"/>
        <v>26</v>
      </c>
      <c r="AS324" s="250">
        <f t="shared" si="233"/>
        <v>21.5</v>
      </c>
      <c r="AT324" s="250">
        <f t="shared" si="233"/>
        <v>21.5</v>
      </c>
      <c r="AU324" s="250">
        <f t="shared" si="233"/>
        <v>21.5</v>
      </c>
      <c r="AV324" s="250">
        <f t="shared" si="233"/>
        <v>21.5</v>
      </c>
      <c r="AW324" s="250">
        <f t="shared" si="233"/>
        <v>21.5</v>
      </c>
      <c r="AX324" s="250">
        <f t="shared" si="233"/>
        <v>21.5</v>
      </c>
      <c r="AY324" s="250">
        <f t="shared" si="233"/>
        <v>21.5</v>
      </c>
      <c r="AZ324" s="250">
        <f t="shared" si="233"/>
        <v>21.5</v>
      </c>
      <c r="BA324" s="250">
        <f t="shared" si="233"/>
        <v>21.5</v>
      </c>
      <c r="BB324" s="250">
        <f t="shared" si="233"/>
        <v>21.5</v>
      </c>
      <c r="BC324" s="250">
        <f t="shared" si="233"/>
        <v>21.5</v>
      </c>
      <c r="BD324" s="250">
        <f t="shared" si="233"/>
        <v>0</v>
      </c>
      <c r="BE324" s="250">
        <f t="shared" si="233"/>
        <v>26</v>
      </c>
      <c r="BF324" s="250">
        <f t="shared" si="233"/>
        <v>26</v>
      </c>
      <c r="BG324" s="250">
        <f t="shared" si="233"/>
        <v>21.5</v>
      </c>
      <c r="BH324" s="250">
        <f t="shared" si="233"/>
        <v>21.5</v>
      </c>
      <c r="BI324" s="250">
        <f t="shared" si="233"/>
        <v>21.5</v>
      </c>
      <c r="BJ324" s="250">
        <f t="shared" si="233"/>
        <v>21.5</v>
      </c>
      <c r="BK324" s="250">
        <f t="shared" si="233"/>
        <v>21.5</v>
      </c>
      <c r="BL324" s="250">
        <f t="shared" si="233"/>
        <v>21.5</v>
      </c>
      <c r="BM324" s="250">
        <f t="shared" si="233"/>
        <v>21.5</v>
      </c>
      <c r="BN324" s="250">
        <f t="shared" si="233"/>
        <v>21.5</v>
      </c>
      <c r="BO324" s="250">
        <f t="shared" si="233"/>
        <v>21.5</v>
      </c>
      <c r="BP324" s="4"/>
    </row>
    <row r="325" spans="38:68" ht="19.149999999999999" x14ac:dyDescent="0.4">
      <c r="AL325" s="13"/>
      <c r="AM325" s="249"/>
      <c r="AN325" s="250">
        <f>AN301</f>
        <v>145</v>
      </c>
      <c r="AO325" s="251" t="s">
        <v>307</v>
      </c>
      <c r="AP325" s="250">
        <f>AP301</f>
        <v>0</v>
      </c>
      <c r="AQ325" s="250">
        <f t="shared" ref="AQ325:BO325" si="234">AQ301</f>
        <v>136.12</v>
      </c>
      <c r="AR325" s="250">
        <f t="shared" si="234"/>
        <v>137.75</v>
      </c>
      <c r="AS325" s="250">
        <f t="shared" si="234"/>
        <v>145</v>
      </c>
      <c r="AT325" s="250">
        <f t="shared" si="234"/>
        <v>145</v>
      </c>
      <c r="AU325" s="250">
        <f t="shared" si="234"/>
        <v>145</v>
      </c>
      <c r="AV325" s="250">
        <f t="shared" si="234"/>
        <v>145</v>
      </c>
      <c r="AW325" s="250">
        <f t="shared" si="234"/>
        <v>145</v>
      </c>
      <c r="AX325" s="250">
        <f t="shared" si="234"/>
        <v>145</v>
      </c>
      <c r="AY325" s="250">
        <f t="shared" si="234"/>
        <v>145</v>
      </c>
      <c r="AZ325" s="250">
        <f t="shared" si="234"/>
        <v>145</v>
      </c>
      <c r="BA325" s="250">
        <f t="shared" si="234"/>
        <v>0</v>
      </c>
      <c r="BB325" s="250">
        <f t="shared" si="234"/>
        <v>136.12</v>
      </c>
      <c r="BC325" s="250">
        <f t="shared" si="234"/>
        <v>137.75</v>
      </c>
      <c r="BD325" s="250">
        <f t="shared" si="234"/>
        <v>145</v>
      </c>
      <c r="BE325" s="250">
        <f t="shared" si="234"/>
        <v>145</v>
      </c>
      <c r="BF325" s="250">
        <f t="shared" si="234"/>
        <v>145</v>
      </c>
      <c r="BG325" s="250">
        <f t="shared" si="234"/>
        <v>145</v>
      </c>
      <c r="BH325" s="250">
        <f t="shared" si="234"/>
        <v>145</v>
      </c>
      <c r="BI325" s="250">
        <f t="shared" si="234"/>
        <v>145</v>
      </c>
      <c r="BJ325" s="250">
        <f t="shared" si="234"/>
        <v>145</v>
      </c>
      <c r="BK325" s="250">
        <f t="shared" si="234"/>
        <v>145</v>
      </c>
      <c r="BL325" s="250">
        <f t="shared" si="234"/>
        <v>145</v>
      </c>
      <c r="BM325" s="250">
        <f t="shared" si="234"/>
        <v>145</v>
      </c>
      <c r="BN325" s="250">
        <f t="shared" si="234"/>
        <v>145</v>
      </c>
      <c r="BO325" s="250">
        <f t="shared" si="234"/>
        <v>145</v>
      </c>
      <c r="BP325" s="4"/>
    </row>
    <row r="326" spans="38:68" ht="19.149999999999999" x14ac:dyDescent="0.4">
      <c r="AL326" s="13"/>
      <c r="AM326" s="249"/>
      <c r="AN326" s="250">
        <f>AN308</f>
        <v>39.61</v>
      </c>
      <c r="AO326" s="251" t="s">
        <v>328</v>
      </c>
      <c r="AP326" s="250">
        <f>AP308</f>
        <v>0</v>
      </c>
      <c r="AQ326" s="250">
        <f t="shared" ref="AQ326:AW327" si="235">AQ308</f>
        <v>0</v>
      </c>
      <c r="AR326" s="250">
        <f t="shared" si="235"/>
        <v>0</v>
      </c>
      <c r="AS326" s="250">
        <f t="shared" si="235"/>
        <v>39.61</v>
      </c>
      <c r="AT326" s="250">
        <f t="shared" si="235"/>
        <v>0</v>
      </c>
      <c r="AU326" s="250">
        <f t="shared" si="235"/>
        <v>39.61</v>
      </c>
      <c r="AV326" s="250">
        <f t="shared" si="235"/>
        <v>39.61</v>
      </c>
      <c r="AW326" s="250">
        <f t="shared" si="235"/>
        <v>39.61</v>
      </c>
      <c r="AX326" s="250">
        <f>AX308</f>
        <v>39.61</v>
      </c>
      <c r="AY326" s="250">
        <f t="shared" ref="AY326:BO327" si="236">AY308</f>
        <v>39.61</v>
      </c>
      <c r="AZ326" s="250">
        <f t="shared" si="236"/>
        <v>39.61</v>
      </c>
      <c r="BA326" s="250">
        <f t="shared" si="236"/>
        <v>39.61</v>
      </c>
      <c r="BB326" s="250">
        <f t="shared" si="236"/>
        <v>39.61</v>
      </c>
      <c r="BC326" s="250">
        <f t="shared" si="236"/>
        <v>39.61</v>
      </c>
      <c r="BD326" s="250">
        <f t="shared" si="236"/>
        <v>39.61</v>
      </c>
      <c r="BE326" s="250">
        <f t="shared" si="236"/>
        <v>39.61</v>
      </c>
      <c r="BF326" s="250">
        <f t="shared" si="236"/>
        <v>39.61</v>
      </c>
      <c r="BG326" s="250">
        <f t="shared" si="236"/>
        <v>39.61</v>
      </c>
      <c r="BH326" s="250">
        <f t="shared" si="236"/>
        <v>39.61</v>
      </c>
      <c r="BI326" s="250">
        <f t="shared" si="236"/>
        <v>39.61</v>
      </c>
      <c r="BJ326" s="250">
        <f t="shared" si="236"/>
        <v>39.61</v>
      </c>
      <c r="BK326" s="250">
        <f t="shared" si="236"/>
        <v>39.61</v>
      </c>
      <c r="BL326" s="250">
        <f t="shared" si="236"/>
        <v>39.61</v>
      </c>
      <c r="BM326" s="250">
        <f t="shared" si="236"/>
        <v>39.61</v>
      </c>
      <c r="BN326" s="250">
        <f t="shared" si="236"/>
        <v>39.61</v>
      </c>
      <c r="BO326" s="250">
        <f t="shared" si="236"/>
        <v>39.61</v>
      </c>
      <c r="BP326" s="4"/>
    </row>
    <row r="327" spans="38:68" ht="19.149999999999999" x14ac:dyDescent="0.4">
      <c r="AL327" s="13"/>
      <c r="AM327" s="249"/>
      <c r="AN327" s="250">
        <f>AN309</f>
        <v>15729.388919999999</v>
      </c>
      <c r="AO327" s="251" t="s">
        <v>329</v>
      </c>
      <c r="AP327" s="250">
        <f>AP309</f>
        <v>0</v>
      </c>
      <c r="AQ327" s="250">
        <f t="shared" si="235"/>
        <v>0</v>
      </c>
      <c r="AR327" s="250">
        <f t="shared" si="235"/>
        <v>0</v>
      </c>
      <c r="AS327" s="250">
        <f t="shared" si="235"/>
        <v>0</v>
      </c>
      <c r="AT327" s="250">
        <f t="shared" si="235"/>
        <v>15729.388919999999</v>
      </c>
      <c r="AU327" s="250">
        <f t="shared" si="235"/>
        <v>15729.388919999999</v>
      </c>
      <c r="AV327" s="250">
        <f t="shared" si="235"/>
        <v>15729.388919999999</v>
      </c>
      <c r="AW327" s="250">
        <f t="shared" si="235"/>
        <v>15729.388919999999</v>
      </c>
      <c r="AX327" s="250">
        <f>AX309</f>
        <v>15729.388919999999</v>
      </c>
      <c r="AY327" s="250">
        <f t="shared" si="236"/>
        <v>15729.388919999999</v>
      </c>
      <c r="AZ327" s="250">
        <f t="shared" si="236"/>
        <v>15729.388919999999</v>
      </c>
      <c r="BA327" s="250">
        <f t="shared" si="236"/>
        <v>15729.388919999999</v>
      </c>
      <c r="BB327" s="250">
        <f t="shared" si="236"/>
        <v>15729.388919999999</v>
      </c>
      <c r="BC327" s="250">
        <f t="shared" si="236"/>
        <v>15729.388919999999</v>
      </c>
      <c r="BD327" s="250">
        <f t="shared" si="236"/>
        <v>15729.388919999999</v>
      </c>
      <c r="BE327" s="250">
        <f t="shared" si="236"/>
        <v>15729.388919999999</v>
      </c>
      <c r="BF327" s="250">
        <f t="shared" si="236"/>
        <v>15729.388919999999</v>
      </c>
      <c r="BG327" s="250">
        <f t="shared" si="236"/>
        <v>15729.388919999999</v>
      </c>
      <c r="BH327" s="250">
        <f t="shared" si="236"/>
        <v>15729.388919999999</v>
      </c>
      <c r="BI327" s="250">
        <f t="shared" si="236"/>
        <v>15729.388919999999</v>
      </c>
      <c r="BJ327" s="250">
        <f t="shared" si="236"/>
        <v>15729.388919999999</v>
      </c>
      <c r="BK327" s="250">
        <f t="shared" si="236"/>
        <v>15729.388919999999</v>
      </c>
      <c r="BL327" s="250">
        <f t="shared" si="236"/>
        <v>15729.388919999999</v>
      </c>
      <c r="BM327" s="250">
        <f t="shared" si="236"/>
        <v>15729.388919999999</v>
      </c>
      <c r="BN327" s="250">
        <f t="shared" si="236"/>
        <v>15729.388919999999</v>
      </c>
      <c r="BO327" s="250">
        <f t="shared" si="236"/>
        <v>15729.388919999999</v>
      </c>
      <c r="BP327" s="4"/>
    </row>
    <row r="328" spans="38:68" ht="19.149999999999999" x14ac:dyDescent="0.4">
      <c r="AL328" s="13"/>
      <c r="AM328" s="249"/>
      <c r="AN328" s="250">
        <f>AN313</f>
        <v>3</v>
      </c>
      <c r="AO328" s="251" t="s">
        <v>318</v>
      </c>
      <c r="AP328" s="250">
        <f>AP313</f>
        <v>0</v>
      </c>
      <c r="AQ328" s="250">
        <f t="shared" ref="AQ328:AW329" si="237">AQ313</f>
        <v>3.8400000000010648</v>
      </c>
      <c r="AR328" s="250">
        <f t="shared" si="237"/>
        <v>3.7500000000010734</v>
      </c>
      <c r="AS328" s="250">
        <f t="shared" si="237"/>
        <v>3</v>
      </c>
      <c r="AT328" s="250">
        <f t="shared" si="237"/>
        <v>3</v>
      </c>
      <c r="AU328" s="250">
        <f t="shared" si="237"/>
        <v>0</v>
      </c>
      <c r="AV328" s="250">
        <f t="shared" si="237"/>
        <v>3.8400000000010648</v>
      </c>
      <c r="AW328" s="250">
        <f t="shared" si="237"/>
        <v>3.7500000000010734</v>
      </c>
      <c r="AX328" s="250">
        <f>AX313</f>
        <v>3</v>
      </c>
      <c r="AY328" s="250">
        <f t="shared" ref="AY328:BO329" si="238">AY313</f>
        <v>3</v>
      </c>
      <c r="AZ328" s="250">
        <f t="shared" si="238"/>
        <v>3</v>
      </c>
      <c r="BA328" s="250">
        <f t="shared" si="238"/>
        <v>3</v>
      </c>
      <c r="BB328" s="250">
        <f t="shared" si="238"/>
        <v>3</v>
      </c>
      <c r="BC328" s="250">
        <f t="shared" si="238"/>
        <v>3</v>
      </c>
      <c r="BD328" s="250">
        <f t="shared" si="238"/>
        <v>3</v>
      </c>
      <c r="BE328" s="250">
        <f t="shared" si="238"/>
        <v>3</v>
      </c>
      <c r="BF328" s="250">
        <f t="shared" si="238"/>
        <v>3</v>
      </c>
      <c r="BG328" s="250">
        <f t="shared" si="238"/>
        <v>3</v>
      </c>
      <c r="BH328" s="250">
        <f t="shared" si="238"/>
        <v>3</v>
      </c>
      <c r="BI328" s="250">
        <f t="shared" si="238"/>
        <v>3</v>
      </c>
      <c r="BJ328" s="250">
        <f t="shared" si="238"/>
        <v>3</v>
      </c>
      <c r="BK328" s="250">
        <f t="shared" si="238"/>
        <v>3</v>
      </c>
      <c r="BL328" s="250">
        <f t="shared" si="238"/>
        <v>3</v>
      </c>
      <c r="BM328" s="250">
        <f t="shared" si="238"/>
        <v>3</v>
      </c>
      <c r="BN328" s="250">
        <f t="shared" si="238"/>
        <v>3</v>
      </c>
      <c r="BO328" s="250">
        <f t="shared" si="238"/>
        <v>3</v>
      </c>
      <c r="BP328" s="4"/>
    </row>
    <row r="329" spans="38:68" ht="19.149999999999999" x14ac:dyDescent="0.4">
      <c r="AL329" s="13"/>
      <c r="AM329" s="249"/>
      <c r="AN329" s="250">
        <f>AN314</f>
        <v>2</v>
      </c>
      <c r="AO329" s="251" t="s">
        <v>319</v>
      </c>
      <c r="AP329" s="250">
        <f>AP314</f>
        <v>0</v>
      </c>
      <c r="AQ329" s="250">
        <f t="shared" si="237"/>
        <v>4.1100000000010395</v>
      </c>
      <c r="AR329" s="250">
        <f t="shared" si="237"/>
        <v>3.7500000000010734</v>
      </c>
      <c r="AS329" s="250">
        <f t="shared" si="237"/>
        <v>2</v>
      </c>
      <c r="AT329" s="250">
        <f t="shared" si="237"/>
        <v>2</v>
      </c>
      <c r="AU329" s="250">
        <f t="shared" si="237"/>
        <v>2</v>
      </c>
      <c r="AV329" s="250">
        <f t="shared" si="237"/>
        <v>2</v>
      </c>
      <c r="AW329" s="250">
        <f t="shared" si="237"/>
        <v>2</v>
      </c>
      <c r="AX329" s="250">
        <f>AX314</f>
        <v>0</v>
      </c>
      <c r="AY329" s="250">
        <f t="shared" si="238"/>
        <v>4.1100000000010395</v>
      </c>
      <c r="AZ329" s="250">
        <f t="shared" si="238"/>
        <v>3.7500000000010734</v>
      </c>
      <c r="BA329" s="250">
        <f t="shared" si="238"/>
        <v>2</v>
      </c>
      <c r="BB329" s="250">
        <f t="shared" si="238"/>
        <v>2</v>
      </c>
      <c r="BC329" s="250">
        <f t="shared" si="238"/>
        <v>2</v>
      </c>
      <c r="BD329" s="250">
        <f t="shared" si="238"/>
        <v>2</v>
      </c>
      <c r="BE329" s="250">
        <f t="shared" si="238"/>
        <v>2</v>
      </c>
      <c r="BF329" s="250">
        <f t="shared" si="238"/>
        <v>2</v>
      </c>
      <c r="BG329" s="250">
        <f t="shared" si="238"/>
        <v>2</v>
      </c>
      <c r="BH329" s="250">
        <f t="shared" si="238"/>
        <v>2</v>
      </c>
      <c r="BI329" s="250">
        <f t="shared" si="238"/>
        <v>2</v>
      </c>
      <c r="BJ329" s="250">
        <f t="shared" si="238"/>
        <v>2</v>
      </c>
      <c r="BK329" s="250">
        <f t="shared" si="238"/>
        <v>2</v>
      </c>
      <c r="BL329" s="250">
        <f t="shared" si="238"/>
        <v>2</v>
      </c>
      <c r="BM329" s="250">
        <f t="shared" si="238"/>
        <v>2</v>
      </c>
      <c r="BN329" s="250">
        <f t="shared" si="238"/>
        <v>2</v>
      </c>
      <c r="BO329" s="250">
        <f t="shared" si="238"/>
        <v>2</v>
      </c>
      <c r="BP329" s="4"/>
    </row>
    <row r="330" spans="38:68" ht="19.149999999999999" x14ac:dyDescent="0.4">
      <c r="AL330" s="13"/>
      <c r="AM330" s="249"/>
      <c r="AN330" s="250">
        <f>AN311</f>
        <v>0.51100000000000001</v>
      </c>
      <c r="AO330" s="251" t="s">
        <v>316</v>
      </c>
      <c r="AP330" s="250">
        <f>AP311</f>
        <v>0.6</v>
      </c>
      <c r="AQ330" s="250">
        <f t="shared" ref="AQ330:AW331" si="239">AQ311</f>
        <v>0.6</v>
      </c>
      <c r="AR330" s="250">
        <f t="shared" si="239"/>
        <v>0.6</v>
      </c>
      <c r="AS330" s="250">
        <f t="shared" si="239"/>
        <v>0.6</v>
      </c>
      <c r="AT330" s="250">
        <f t="shared" si="239"/>
        <v>0.6</v>
      </c>
      <c r="AU330" s="250">
        <f t="shared" si="239"/>
        <v>0.6</v>
      </c>
      <c r="AV330" s="250">
        <f t="shared" si="239"/>
        <v>0.6</v>
      </c>
      <c r="AW330" s="250">
        <f t="shared" si="239"/>
        <v>0.6</v>
      </c>
      <c r="AX330" s="250">
        <f>AX311</f>
        <v>0.6</v>
      </c>
      <c r="AY330" s="250">
        <f t="shared" ref="AY330:BO331" si="240">AY311</f>
        <v>0.6</v>
      </c>
      <c r="AZ330" s="250">
        <f t="shared" si="240"/>
        <v>0.6</v>
      </c>
      <c r="BA330" s="250">
        <f t="shared" si="240"/>
        <v>0.6</v>
      </c>
      <c r="BB330" s="250">
        <f t="shared" si="240"/>
        <v>0.6</v>
      </c>
      <c r="BC330" s="250">
        <f t="shared" si="240"/>
        <v>0.6</v>
      </c>
      <c r="BD330" s="250">
        <f t="shared" si="240"/>
        <v>0.6</v>
      </c>
      <c r="BE330" s="250">
        <f t="shared" si="240"/>
        <v>0.6</v>
      </c>
      <c r="BF330" s="250">
        <f t="shared" si="240"/>
        <v>0.6</v>
      </c>
      <c r="BG330" s="250">
        <f t="shared" si="240"/>
        <v>0.6</v>
      </c>
      <c r="BH330" s="250">
        <f t="shared" si="240"/>
        <v>0.6</v>
      </c>
      <c r="BI330" s="250">
        <f t="shared" si="240"/>
        <v>0.6</v>
      </c>
      <c r="BJ330" s="250">
        <f t="shared" si="240"/>
        <v>0.6</v>
      </c>
      <c r="BK330" s="250">
        <f t="shared" si="240"/>
        <v>0.6</v>
      </c>
      <c r="BL330" s="250">
        <f t="shared" si="240"/>
        <v>0.6</v>
      </c>
      <c r="BM330" s="250">
        <f t="shared" si="240"/>
        <v>0.6</v>
      </c>
      <c r="BN330" s="250">
        <f t="shared" si="240"/>
        <v>0.6</v>
      </c>
      <c r="BO330" s="250">
        <f t="shared" si="240"/>
        <v>0.6</v>
      </c>
      <c r="BP330" s="4"/>
    </row>
    <row r="331" spans="38:68" ht="19.149999999999999" x14ac:dyDescent="0.4">
      <c r="AL331" s="13"/>
      <c r="AM331" s="249"/>
      <c r="AN331" s="250">
        <f>AN312</f>
        <v>0.48899999999999999</v>
      </c>
      <c r="AO331" s="251" t="s">
        <v>330</v>
      </c>
      <c r="AP331" s="250">
        <f>AP312</f>
        <v>0.4</v>
      </c>
      <c r="AQ331" s="250">
        <f t="shared" si="239"/>
        <v>0.4</v>
      </c>
      <c r="AR331" s="250">
        <f t="shared" si="239"/>
        <v>0.4</v>
      </c>
      <c r="AS331" s="250">
        <f t="shared" si="239"/>
        <v>0.4</v>
      </c>
      <c r="AT331" s="250">
        <f t="shared" si="239"/>
        <v>0.4</v>
      </c>
      <c r="AU331" s="250">
        <f t="shared" si="239"/>
        <v>0.4</v>
      </c>
      <c r="AV331" s="250">
        <f t="shared" si="239"/>
        <v>0.4</v>
      </c>
      <c r="AW331" s="250">
        <f t="shared" si="239"/>
        <v>0.4</v>
      </c>
      <c r="AX331" s="250">
        <f>AX312</f>
        <v>0.4</v>
      </c>
      <c r="AY331" s="250">
        <f t="shared" si="240"/>
        <v>0.4</v>
      </c>
      <c r="AZ331" s="250">
        <f t="shared" si="240"/>
        <v>0.4</v>
      </c>
      <c r="BA331" s="250">
        <f t="shared" si="240"/>
        <v>0.4</v>
      </c>
      <c r="BB331" s="250">
        <f t="shared" si="240"/>
        <v>0.4</v>
      </c>
      <c r="BC331" s="250">
        <f t="shared" si="240"/>
        <v>0.4</v>
      </c>
      <c r="BD331" s="250">
        <f t="shared" si="240"/>
        <v>0.4</v>
      </c>
      <c r="BE331" s="250">
        <f t="shared" si="240"/>
        <v>0.4</v>
      </c>
      <c r="BF331" s="250">
        <f t="shared" si="240"/>
        <v>0.4</v>
      </c>
      <c r="BG331" s="250">
        <f t="shared" si="240"/>
        <v>0.4</v>
      </c>
      <c r="BH331" s="250">
        <f t="shared" si="240"/>
        <v>0.4</v>
      </c>
      <c r="BI331" s="250">
        <f t="shared" si="240"/>
        <v>0.4</v>
      </c>
      <c r="BJ331" s="250">
        <f t="shared" si="240"/>
        <v>0.4</v>
      </c>
      <c r="BK331" s="250">
        <f t="shared" si="240"/>
        <v>0.4</v>
      </c>
      <c r="BL331" s="250">
        <f t="shared" si="240"/>
        <v>0.4</v>
      </c>
      <c r="BM331" s="250">
        <f t="shared" si="240"/>
        <v>0.4</v>
      </c>
      <c r="BN331" s="250">
        <f t="shared" si="240"/>
        <v>0.4</v>
      </c>
      <c r="BO331" s="250">
        <f t="shared" si="240"/>
        <v>0.4</v>
      </c>
      <c r="BP331" s="4"/>
    </row>
    <row r="332" spans="38:68" x14ac:dyDescent="0.4">
      <c r="AL332" s="13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38:68" x14ac:dyDescent="0.4">
      <c r="AL333" s="13"/>
    </row>
    <row r="334" spans="38:68" ht="16.899999999999999" x14ac:dyDescent="0.4">
      <c r="AL334" s="13"/>
      <c r="AM334" s="261" t="s">
        <v>204</v>
      </c>
      <c r="AN334" s="218"/>
      <c r="AO334" s="218"/>
      <c r="AP334" s="218"/>
      <c r="AQ334" s="218"/>
      <c r="AR334" s="218"/>
      <c r="AS334" s="218"/>
      <c r="AT334" s="218"/>
      <c r="AU334" s="218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38:68" ht="16.899999999999999" x14ac:dyDescent="0.4">
      <c r="AL335" s="13"/>
      <c r="AM335" s="220" t="s">
        <v>219</v>
      </c>
      <c r="AN335" s="220" t="s">
        <v>220</v>
      </c>
      <c r="AO335" s="220" t="s">
        <v>221</v>
      </c>
      <c r="AP335" s="220" t="s">
        <v>222</v>
      </c>
      <c r="AQ335" s="220" t="s">
        <v>223</v>
      </c>
      <c r="AR335" s="220" t="s">
        <v>224</v>
      </c>
      <c r="AS335" s="220" t="s">
        <v>225</v>
      </c>
      <c r="AT335" s="220" t="s">
        <v>226</v>
      </c>
      <c r="AU335" s="220" t="s">
        <v>227</v>
      </c>
      <c r="BP335" s="4"/>
    </row>
    <row r="336" spans="38:68" ht="16.149999999999999" x14ac:dyDescent="0.4">
      <c r="AL336" s="13"/>
      <c r="AM336" s="221" t="s">
        <v>228</v>
      </c>
      <c r="AN336" s="222">
        <f>AN338/(AN337*100*AN339*100*4.1816*7000)*10000000</f>
        <v>316.32259981279526</v>
      </c>
      <c r="AO336" s="221" t="s">
        <v>229</v>
      </c>
      <c r="AP336" s="223">
        <f>IFERROR(AP338/((AP337*100)*(AP339*100)*7000*4.1868)*10000000,)</f>
        <v>0</v>
      </c>
      <c r="AQ336" s="223" t="e">
        <f t="shared" ref="AP336:AR336" si="241">AQ338/((AQ337*100)*(AQ339*100)*7000*4.1868)*10000000</f>
        <v>#DIV/0!</v>
      </c>
      <c r="AR336" s="223" t="e">
        <f t="shared" si="241"/>
        <v>#DIV/0!</v>
      </c>
      <c r="AS336" s="223" t="s">
        <v>178</v>
      </c>
      <c r="AT336" s="223" t="s">
        <v>178</v>
      </c>
      <c r="AU336" s="223" t="s">
        <v>178</v>
      </c>
      <c r="AV336" s="224" t="e">
        <f>$AN336+AS342+AS338+SUM(AS345:AS355)</f>
        <v>#DIV/0!</v>
      </c>
      <c r="AW336" s="224" t="e">
        <f t="shared" ref="AW336" si="242">$AN336+AT342+AT338+SUM(AT345:AT355)</f>
        <v>#DIV/0!</v>
      </c>
      <c r="AX336" s="224" t="e">
        <f t="shared" ref="AX336" si="243">$AN336+AU342+AU338+SUM(AU345:AU355)</f>
        <v>#DIV/0!</v>
      </c>
      <c r="BP336" s="4"/>
    </row>
    <row r="337" spans="38:68" ht="16.149999999999999" x14ac:dyDescent="0.4">
      <c r="AL337" s="13"/>
      <c r="AM337" s="225" t="s">
        <v>230</v>
      </c>
      <c r="AN337" s="260">
        <v>0.91239999999999999</v>
      </c>
      <c r="AO337" s="225" t="s">
        <v>231</v>
      </c>
      <c r="AP337" s="227">
        <f>IFERROR(SUMPRODUCT(AQ344:AR344,AQ337:AR337)/AP344,)</f>
        <v>0</v>
      </c>
      <c r="AQ337" s="322" t="e">
        <f>AQ364/100-(0.03006*AQ346-0.1786-0.252504)/100+(0.000029*POWER(AQ353,2)-0.009245*POWER(AQ353,1)+0.2025+0.34061901)/100</f>
        <v>#DIV/0!</v>
      </c>
      <c r="AR337" s="322" t="e">
        <f>AR364/100-(0.03006*AR346-0.1786-0.252504)/100+(0.000029*POWER(AR353,2)-0.009245*POWER(AR353,1)+0.2025+0.34061901)/100</f>
        <v>#DIV/0!</v>
      </c>
      <c r="AS337" s="227" t="s">
        <v>178</v>
      </c>
      <c r="AT337" s="227" t="s">
        <v>178</v>
      </c>
      <c r="AU337" s="227" t="s">
        <v>178</v>
      </c>
      <c r="BP337" s="4"/>
    </row>
    <row r="338" spans="38:68" ht="16.149999999999999" x14ac:dyDescent="0.4">
      <c r="AL338" s="13"/>
      <c r="AM338" s="221" t="s">
        <v>232</v>
      </c>
      <c r="AN338" s="228">
        <v>8194.6</v>
      </c>
      <c r="AO338" s="221" t="s">
        <v>233</v>
      </c>
      <c r="AP338" s="311">
        <f>IFERROR(SUMPRODUCT(AQ344:AR344,AQ338:AR338)/AP344,)</f>
        <v>0</v>
      </c>
      <c r="AQ338" s="223">
        <f>AQ342*(1+(0.0006*POWER(AQ340,4)-0.0249*POWER(AQ340,3)+0.3618*POWER(AQ340,2)-1.4229*POWER(AQ340,1))/100+(-0.0007*POWER((AQ358-$AN$358),3)+0.0114*POWER((AQ358-$AN$358),2)-0.5152*POWER((AQ358-$AN$358),1))/100+(0.00000004*POWER((AQ359-$AN$359),4)-0.0000006*POWER((AQ359-$AN$359),3)+0.00005*POWER((AQ359-$AN$359),2)-0.0241*POWER((AQ359-$AN$359),1))/100+(0.00000004*POWER((AQ360-$AN$360),4)-0.0000006*POWER((AQ360-$AN$360),3)+0.00005*POWER((AQ360-$AN$360),2)-0.0241*POWER((AQ360-$AN$360),1))/100)+(-0.0016*POWER(AQ341-$AN$341,3)-0.0041*POWER(AQ341-$AN$341,2)-2.9403*POWER(AQ341-$AN$341,1))</f>
        <v>13047.895619397699</v>
      </c>
      <c r="AR338" s="223">
        <f>AR342*(1+(0.0006*POWER(AR340,4)-0.0249*POWER(AR340,3)+0.3618*POWER(AR340,2)-1.4229*POWER(AR340,1))/100+(-0.0007*POWER((AR358-$AN$358),3)+0.0114*POWER((AR358-$AN$358),2)-0.5152*POWER((AR358-$AN$358),1))/100+(0.00000004*POWER((AR359-$AN$359),4)-0.0000006*POWER((AR359-$AN$359),3)+0.00005*POWER((AR359-$AN$359),2)-0.0241*POWER((AR359-$AN$359),1))/100+(0.00000004*POWER((AR360-$AN$360),4)-0.0000006*POWER((AR360-$AN$360),3)+0.00005*POWER((AR360-$AN$360),2)-0.0241*POWER((AR360-$AN$360),1))/100)+(-0.0016*POWER(AR341-$AN$341,3)-0.0041*POWER(AR341-$AN$341,2)-2.9403*POWER(AR341-$AN$341,1))</f>
        <v>13109.948669222471</v>
      </c>
      <c r="AS338" s="223" t="e">
        <f>(AP338-AP342)/((AP337*100)*(AP339*100)*7000*4.1868)*10000000</f>
        <v>#DIV/0!</v>
      </c>
      <c r="AT338" s="223" t="e">
        <f t="shared" ref="AT338:AU338" si="244">(AQ338-AQ342)/((AQ337*100)*(AQ339*100)*7000*4.1868)*10000000</f>
        <v>#DIV/0!</v>
      </c>
      <c r="AU338" s="223" t="e">
        <f t="shared" si="244"/>
        <v>#DIV/0!</v>
      </c>
      <c r="AW338" s="229"/>
      <c r="BP338" s="4"/>
    </row>
    <row r="339" spans="38:68" ht="16.149999999999999" x14ac:dyDescent="0.4">
      <c r="AL339" s="13"/>
      <c r="AM339" s="225" t="s">
        <v>234</v>
      </c>
      <c r="AN339" s="226">
        <v>0.97</v>
      </c>
      <c r="AO339" s="225" t="s">
        <v>235</v>
      </c>
      <c r="AP339" s="227">
        <f>IFERROR(SUMPRODUCT(AQ344:AR344,AQ339:AR339)/AP344,)</f>
        <v>0</v>
      </c>
      <c r="AQ339" s="227">
        <v>0.96799999999999997</v>
      </c>
      <c r="AR339" s="227">
        <v>0.96799999999999997</v>
      </c>
      <c r="AS339" s="227" t="s">
        <v>178</v>
      </c>
      <c r="AT339" s="227" t="s">
        <v>178</v>
      </c>
      <c r="AU339" s="227" t="s">
        <v>178</v>
      </c>
      <c r="BP339" s="4"/>
    </row>
    <row r="340" spans="38:68" ht="16.149999999999999" x14ac:dyDescent="0.4">
      <c r="AL340" s="13"/>
      <c r="AM340" s="221" t="s">
        <v>236</v>
      </c>
      <c r="AN340" s="228">
        <v>6.1</v>
      </c>
      <c r="AO340" s="221" t="s">
        <v>237</v>
      </c>
      <c r="AP340" s="312">
        <f>IFERROR(SUMPRODUCT(AQ344:AR344,AQ340:AR340)/AP344,)</f>
        <v>0</v>
      </c>
      <c r="AQ340" s="223">
        <v>9.1692118708008099</v>
      </c>
      <c r="AR340" s="223">
        <v>9.6980739994124008</v>
      </c>
      <c r="AS340" s="231" t="e">
        <f>(AP342*(0.0006*POWER(AP340,4)-0.0249*POWER(AP340,3)+0.3618*POWER(AP340,2)-1.4229*POWER(AP340,1))/100)/((AP337*100)*(AP339*100)*7000*4.1868)*10000000</f>
        <v>#DIV/0!</v>
      </c>
      <c r="AT340" s="231" t="e">
        <f t="shared" ref="AT340:AU340" si="245">(AQ342*(0.0006*POWER(AQ340,4)-0.0249*POWER(AQ340,3)+0.3618*POWER(AQ340,2)-1.4229*POWER(AQ340,1))/100)/((AQ337*100)*(AQ339*100)*7000*4.1868)*10000000</f>
        <v>#DIV/0!</v>
      </c>
      <c r="AU340" s="231" t="e">
        <f t="shared" si="245"/>
        <v>#DIV/0!</v>
      </c>
      <c r="BP340" s="4"/>
    </row>
    <row r="341" spans="38:68" ht="16.149999999999999" x14ac:dyDescent="0.4">
      <c r="AL341" s="13"/>
      <c r="AM341" s="225" t="s">
        <v>238</v>
      </c>
      <c r="AN341" s="228">
        <v>135</v>
      </c>
      <c r="AO341" s="225" t="s">
        <v>239</v>
      </c>
      <c r="AP341" s="232">
        <f>IFERROR(SUMPRODUCT(AQ344:AR344,AQ341:AR341)/AP344,)</f>
        <v>0</v>
      </c>
      <c r="AQ341" s="222">
        <v>0</v>
      </c>
      <c r="AR341" s="222">
        <v>0</v>
      </c>
      <c r="AS341" s="232" t="e">
        <f>(-0.0016*POWER(AP341-$AN$341,3)-0.0041*POWER(AP341-$AN$341,2)-2.9403*POWER(AP341-$AN$341,1))/((AP337*100)*(AP339*100)*7000*4.1868)*10000000</f>
        <v>#DIV/0!</v>
      </c>
      <c r="AT341" s="232" t="e">
        <f t="shared" ref="AT341:AU341" si="246">(-0.0016*POWER(AQ341-$AN$341,3)-0.0041*POWER(AQ341-$AN$341,2)-2.9403*POWER(AQ341-$AN$341,1))/((AQ337*100)*(AQ339*100)*7000*4.1868)*10000000</f>
        <v>#DIV/0!</v>
      </c>
      <c r="AU341" s="232" t="e">
        <f t="shared" si="246"/>
        <v>#DIV/0!</v>
      </c>
      <c r="BP341" s="4"/>
    </row>
    <row r="342" spans="38:68" ht="16.149999999999999" x14ac:dyDescent="0.4">
      <c r="AL342" s="13"/>
      <c r="AM342" s="221" t="s">
        <v>240</v>
      </c>
      <c r="AN342" s="233">
        <f>AP342</f>
        <v>0</v>
      </c>
      <c r="AO342" s="221" t="s">
        <v>240</v>
      </c>
      <c r="AP342" s="312">
        <f>IFERROR(SUMPRODUCT(AQ344:AR344,AQ342:AR342)/AP344,)</f>
        <v>0</v>
      </c>
      <c r="AQ342" s="233">
        <v>8480.8736679680005</v>
      </c>
      <c r="AR342" s="233">
        <v>8480.8736679680005</v>
      </c>
      <c r="AS342" s="231" t="e">
        <f>(AP342-$AN$338)/((AP337*100)*(AP339*100)*7000*4.1868)*10000000</f>
        <v>#DIV/0!</v>
      </c>
      <c r="AT342" s="231" t="e">
        <f t="shared" ref="AT342:AU342" si="247">(AQ342-$AN$338)/((AQ337*100)*(AQ339*100)*7000*4.1868)*10000000</f>
        <v>#DIV/0!</v>
      </c>
      <c r="AU342" s="231" t="e">
        <f t="shared" si="247"/>
        <v>#DIV/0!</v>
      </c>
      <c r="BP342" s="4"/>
    </row>
    <row r="343" spans="38:68" ht="16.149999999999999" x14ac:dyDescent="0.4">
      <c r="AL343" s="13"/>
      <c r="AM343" s="225" t="s">
        <v>241</v>
      </c>
      <c r="AN343" s="228">
        <f>AN341*AN344/10</f>
        <v>67500</v>
      </c>
      <c r="AO343" s="225" t="s">
        <v>242</v>
      </c>
      <c r="AP343" s="232">
        <f>IFERROR(SUM(AQ343:AR343),)</f>
        <v>0</v>
      </c>
      <c r="AQ343" s="234">
        <f>AQ341*AQ344/10</f>
        <v>0</v>
      </c>
      <c r="AR343" s="234">
        <f>AR341*AR344/10</f>
        <v>0</v>
      </c>
      <c r="AS343" s="235" t="s">
        <v>178</v>
      </c>
      <c r="AT343" s="235" t="s">
        <v>178</v>
      </c>
      <c r="AU343" s="235" t="s">
        <v>178</v>
      </c>
      <c r="BP343" s="4"/>
    </row>
    <row r="344" spans="38:68" ht="16.149999999999999" x14ac:dyDescent="0.4">
      <c r="AL344" s="13"/>
      <c r="AM344" s="221" t="s">
        <v>243</v>
      </c>
      <c r="AN344" s="228">
        <v>5000</v>
      </c>
      <c r="AO344" s="221" t="s">
        <v>244</v>
      </c>
      <c r="AP344" s="312">
        <f>IFERROR(SUM(AQ344:AR344),)</f>
        <v>0</v>
      </c>
      <c r="AQ344" s="230">
        <v>0</v>
      </c>
      <c r="AR344" s="230">
        <v>0</v>
      </c>
      <c r="AS344" s="231" t="s">
        <v>178</v>
      </c>
      <c r="AT344" s="231" t="s">
        <v>178</v>
      </c>
      <c r="AU344" s="231" t="s">
        <v>178</v>
      </c>
      <c r="BP344" s="4"/>
    </row>
    <row r="345" spans="38:68" ht="16.149999999999999" x14ac:dyDescent="0.4">
      <c r="AL345" s="13"/>
      <c r="AM345" s="225" t="s">
        <v>245</v>
      </c>
      <c r="AN345" s="262">
        <v>3756.9</v>
      </c>
      <c r="AO345" s="225" t="s">
        <v>246</v>
      </c>
      <c r="AP345" s="232">
        <f>IFERROR(SUMPRODUCT(AQ344:AR344,AQ345:AR345)/AP344,)</f>
        <v>0</v>
      </c>
      <c r="AQ345" s="310">
        <f>$C$90</f>
        <v>0</v>
      </c>
      <c r="AR345" s="310">
        <f>$C$90</f>
        <v>0</v>
      </c>
      <c r="AS345" s="236" t="e">
        <f>AP338/((AP337*100)*(AP339*100)*7000*4.1868)*10000000-AP338/((AP337*100-(($AS364-$AN$364)/100-($AN$345-AP345)/1000*1.25%)*100)*(AP339*100)*7000*4.1868)*10000000</f>
        <v>#DIV/0!</v>
      </c>
      <c r="AT345" s="236" t="e">
        <f>AQ338/((AQ337*100)*(AQ339*100)*7000*4.1868)*10000000-AQ338/((AQ337*100-(($AS364-$AN$364)/100-($AN$345-AQ345)/1000*1.25%)*100)*(AQ339*100)*7000*4.1868)*10000000</f>
        <v>#DIV/0!</v>
      </c>
      <c r="AU345" s="236" t="e">
        <f>AR338/((AR337*100)*(AR339*100)*7000*4.1868)*10000000-AR338/((AR337*100-(($AS364-$AN$364)/100-($AN$345-AR345)/1000*1.25%)*100)*(AR339*100)*7000*4.1868)*10000000</f>
        <v>#DIV/0!</v>
      </c>
      <c r="BP345" s="4"/>
    </row>
    <row r="346" spans="38:68" ht="16.149999999999999" x14ac:dyDescent="0.4">
      <c r="AL346" s="13"/>
      <c r="AM346" s="221" t="s">
        <v>247</v>
      </c>
      <c r="AN346" s="237">
        <v>18.2</v>
      </c>
      <c r="AO346" s="221" t="s">
        <v>248</v>
      </c>
      <c r="AP346" s="312">
        <f>IFERROR(SUMPRODUCT(AQ344:AR344,AQ346:AR346)/AP344,)</f>
        <v>0</v>
      </c>
      <c r="AQ346" s="310">
        <f>$F$90</f>
        <v>0</v>
      </c>
      <c r="AR346" s="310">
        <f>$F$90</f>
        <v>0</v>
      </c>
      <c r="AS346" s="238" t="e">
        <f>AP338/((AP337*100)*(AP339*100)*7000*4.1868)*10000000-AP338/((AP337*100-(-(AP346-$AN$346)/100*0.008)*100)*(AP339*100)*7000*4.1868)*10000000</f>
        <v>#DIV/0!</v>
      </c>
      <c r="AT346" s="238" t="e">
        <f>AQ338/((AQ337*100)*(AQ339*100)*7000*4.1868)*10000000-AQ338/((AQ337*100-(-(AQ346-$AN$346)/100*0.008)*100)*(AQ339*100)*7000*4.1868)*10000000</f>
        <v>#DIV/0!</v>
      </c>
      <c r="AU346" s="238" t="e">
        <f>AR338/((AR337*100)*(AR339*100)*7000*4.1868)*10000000-AR338/((AR337*100-(-(AR346-$AN$346)/100*0.008)*100)*(AR339*100)*7000*4.1868)*10000000</f>
        <v>#DIV/0!</v>
      </c>
      <c r="BP346" s="4"/>
    </row>
    <row r="347" spans="38:68" ht="16.149999999999999" x14ac:dyDescent="0.4">
      <c r="AL347" s="13"/>
      <c r="AM347" s="225" t="s">
        <v>249</v>
      </c>
      <c r="AN347" s="237">
        <v>33.270000000000003</v>
      </c>
      <c r="AO347" s="225" t="s">
        <v>250</v>
      </c>
      <c r="AP347" s="232">
        <f>IFERROR(SUMPRODUCT(AQ344:AR344,AQ347:AR347)/AP344,)</f>
        <v>0</v>
      </c>
      <c r="AQ347" s="310">
        <f>$G$90</f>
        <v>0</v>
      </c>
      <c r="AR347" s="310">
        <f>$G$90</f>
        <v>0</v>
      </c>
      <c r="AS347" s="236" t="e">
        <f>AP338/((AP337*100)*(AP339*100)*7000*4.1868)*10000000-AP338/((AP337*100-(($AT364-$AN$364)/100)*100)*(AP339*100)*7000*4.1868)*10000000</f>
        <v>#DIV/0!</v>
      </c>
      <c r="AT347" s="236" t="e">
        <f>AQ338/((AQ337*100)*(AQ339*100)*7000*4.1868)*10000000-AQ338/((AQ337*100-(($AT364-$AN$364)/100)*100)*(AQ339*100)*7000*4.1868)*10000000</f>
        <v>#DIV/0!</v>
      </c>
      <c r="AU347" s="236" t="e">
        <f>AR338/((AR337*100)*(AR339*100)*7000*4.1868)*10000000-AR338/((AR337*100-(($AT364-$AN$364)/100)*100)*(AR339*100)*7000*4.1868)*10000000</f>
        <v>#DIV/0!</v>
      </c>
      <c r="BP347" s="4"/>
    </row>
    <row r="348" spans="38:68" ht="16.149999999999999" x14ac:dyDescent="0.4">
      <c r="AL348" s="13"/>
      <c r="AM348" s="221" t="s">
        <v>251</v>
      </c>
      <c r="AN348" s="237">
        <v>1.21</v>
      </c>
      <c r="AO348" s="221" t="s">
        <v>252</v>
      </c>
      <c r="AP348" s="312">
        <f>IFERROR(SUMPRODUCT(AQ344:AR344,AQ348:AR348)/AP344,)</f>
        <v>0</v>
      </c>
      <c r="AQ348" s="230">
        <v>2.0557790498584203</v>
      </c>
      <c r="AR348" s="230">
        <v>2.4730841945898501</v>
      </c>
      <c r="AS348" s="238" t="e">
        <f>AP338/((AP337*100)*(AP339*100)*7000*4.1868)*10000000-AP338/((AP337*100-((AU$364-$AN$364)/100)*100)*(AP339*100)*7000*4.1868)*10000000</f>
        <v>#DIV/0!</v>
      </c>
      <c r="AT348" s="238" t="e">
        <f t="shared" ref="AT348:AU348" si="248">AQ338/((AQ337*100)*(AQ339*100)*7000*4.1868)*10000000-AQ338/((AQ337*100-((AV$364-$AN$364)/100)*100)*(AQ339*100)*7000*4.1868)*10000000</f>
        <v>#DIV/0!</v>
      </c>
      <c r="AU348" s="238" t="e">
        <f t="shared" si="248"/>
        <v>#DIV/0!</v>
      </c>
      <c r="BP348" s="4"/>
    </row>
    <row r="349" spans="38:68" ht="16.149999999999999" x14ac:dyDescent="0.4">
      <c r="AL349" s="13"/>
      <c r="AM349" s="225" t="s">
        <v>253</v>
      </c>
      <c r="AN349" s="237">
        <v>1</v>
      </c>
      <c r="AO349" s="225" t="s">
        <v>254</v>
      </c>
      <c r="AP349" s="232">
        <f>IFERROR(SUMPRODUCT(AQ344:AR344,AQ349:AR349)/AP344,)</f>
        <v>0</v>
      </c>
      <c r="AQ349" s="230">
        <v>2.6246735660005998</v>
      </c>
      <c r="AR349" s="230">
        <v>3.7970433593514796</v>
      </c>
      <c r="AS349" s="236" t="e">
        <f>AP338/((AP337*100)*(AP339*100)*7000*4.1868)*10000000-AP338/((AP337*100-((AX$364-$AN$364)/100)*100)*(AP339*100)*7000*4.1868)*10000000</f>
        <v>#DIV/0!</v>
      </c>
      <c r="AT349" s="236" t="e">
        <f t="shared" ref="AT349:AU349" si="249">AQ338/((AQ337*100)*(AQ339*100)*7000*4.1868)*10000000-AQ338/((AQ337*100-((AY$364-$AN$364)/100)*100)*(AQ339*100)*7000*4.1868)*10000000</f>
        <v>#DIV/0!</v>
      </c>
      <c r="AU349" s="236" t="e">
        <f t="shared" si="249"/>
        <v>#DIV/0!</v>
      </c>
      <c r="BP349" s="4"/>
    </row>
    <row r="350" spans="38:68" ht="16.149999999999999" x14ac:dyDescent="0.4">
      <c r="AL350" s="13"/>
      <c r="AM350" s="221" t="s">
        <v>255</v>
      </c>
      <c r="AN350" s="228">
        <v>143.5</v>
      </c>
      <c r="AO350" s="221" t="s">
        <v>256</v>
      </c>
      <c r="AP350" s="312">
        <f>IFERROR(SUMPRODUCT(AQ344:AR344,AQ350:AR350)/AP344,)</f>
        <v>0</v>
      </c>
      <c r="AQ350" s="230">
        <v>145</v>
      </c>
      <c r="AR350" s="230">
        <v>145</v>
      </c>
      <c r="AS350" s="238" t="e">
        <f>AP338/((AP337*100)*(AP339*100)*7000*4.1868)*10000000-AP338/((AP337*100-((BA$364-$AN$364)/100)*100)*(AP339*100)*7000*4.1868)*10000000</f>
        <v>#DIV/0!</v>
      </c>
      <c r="AT350" s="238" t="e">
        <f t="shared" ref="AT350:AU350" si="250">AQ338/((AQ337*100)*(AQ339*100)*7000*4.1868)*10000000-AQ338/((AQ337*100-((BB$364-$AN$364)/100)*100)*(AQ339*100)*7000*4.1868)*10000000</f>
        <v>#DIV/0!</v>
      </c>
      <c r="AU350" s="238" t="e">
        <f t="shared" si="250"/>
        <v>#DIV/0!</v>
      </c>
      <c r="BP350" s="4"/>
    </row>
    <row r="351" spans="38:68" ht="16.149999999999999" x14ac:dyDescent="0.4">
      <c r="AL351" s="13"/>
      <c r="AM351" s="225" t="s">
        <v>257</v>
      </c>
      <c r="AN351" s="228">
        <v>21.8</v>
      </c>
      <c r="AO351" s="225" t="s">
        <v>258</v>
      </c>
      <c r="AP351" s="232">
        <f>IFERROR(SUMPRODUCT(AQ344:AR344,AQ351:AR351)/AP344,)</f>
        <v>0</v>
      </c>
      <c r="AQ351" s="230">
        <v>26.982414814260999</v>
      </c>
      <c r="AR351" s="230">
        <v>24.8479152752858</v>
      </c>
      <c r="AS351" s="236" t="e">
        <f>AP338/((AP337*100)*(AP339*100)*7000*4.1868)*10000000-AP338/((AP337*100-((BD$364-$AN$364)/100)*100)*(AP339*100)*7000*4.1868)*10000000</f>
        <v>#DIV/0!</v>
      </c>
      <c r="AT351" s="236" t="e">
        <f>AQ338/((AQ337*100)*(AQ339*100)*7000*4.1868)*10000000-AQ338/((AQ337*100-((BE$364-$AN$364)/100)*100)*(AQ339*100)*7000*4.1868)*10000000</f>
        <v>#DIV/0!</v>
      </c>
      <c r="AU351" s="236" t="e">
        <f>AR338/((AR337*100)*(AR339*100)*7000*4.1868)*10000000-AR338/((AR337*100-((BF$364-$AN$364)/100)*100)*(AR339*100)*7000*4.1868)*10000000</f>
        <v>#DIV/0!</v>
      </c>
      <c r="BP351" s="4"/>
    </row>
    <row r="352" spans="38:68" ht="16.149999999999999" x14ac:dyDescent="0.4">
      <c r="AL352" s="13"/>
      <c r="AM352" s="221" t="s">
        <v>259</v>
      </c>
      <c r="AN352" s="228">
        <v>5.36</v>
      </c>
      <c r="AO352" s="221" t="s">
        <v>260</v>
      </c>
      <c r="AP352" s="311">
        <f>IFERROR(SUMPRODUCT(AQ344:AR344,AQ352:AR352)/AP344,)</f>
        <v>0</v>
      </c>
      <c r="AQ352" s="230">
        <v>2.4532804919429601</v>
      </c>
      <c r="AR352" s="230">
        <v>4.9866311187429702</v>
      </c>
      <c r="AS352" s="238" t="e">
        <f>AP338/((AP337*100)*(AP339*100)*7000*4.1868)*10000000-AP338/((AP337*100-((BG$364-$AN$364)/100)*100)*(AP339*100)*7000*4.1868)*10000000</f>
        <v>#DIV/0!</v>
      </c>
      <c r="AT352" s="238" t="e">
        <f t="shared" ref="AT352:AU352" si="251">AQ338/((AQ337*100)*(AQ339*100)*7000*4.1868)*10000000-AQ338/((AQ337*100-((BH$364-$AN$364)/100)*100)*(AQ339*100)*7000*4.1868)*10000000</f>
        <v>#DIV/0!</v>
      </c>
      <c r="AU352" s="238" t="e">
        <f t="shared" si="251"/>
        <v>#DIV/0!</v>
      </c>
      <c r="BP352" s="4"/>
    </row>
    <row r="353" spans="38:68" ht="16.149999999999999" x14ac:dyDescent="0.4">
      <c r="AL353" s="13"/>
      <c r="AM353" s="225" t="s">
        <v>261</v>
      </c>
      <c r="AN353" s="228">
        <v>240.9</v>
      </c>
      <c r="AO353" s="225" t="s">
        <v>262</v>
      </c>
      <c r="AP353" s="232">
        <f>IFERROR(SUMPRODUCT(AQ344:AR344,AQ353:AR353)/AP344,)</f>
        <v>0</v>
      </c>
      <c r="AQ353" s="230">
        <v>223.62463367111999</v>
      </c>
      <c r="AR353" s="230">
        <v>230.10469289103699</v>
      </c>
      <c r="AS353" s="236" t="e">
        <f>AP338/((AP337*100)*(AP339*100)*7000*4.1868)*10000000-AP338/((AP337*100-(-($AN$353-AP353)*0.02%)*100)*(AP339*100)*7000*4.1868)*10000000</f>
        <v>#DIV/0!</v>
      </c>
      <c r="AT353" s="236" t="e">
        <f t="shared" ref="AT353:AU353" si="252">AQ338/((AQ337*100)*(AQ339*100)*7000*4.1868)*10000000-AQ338/((AQ337*100-(-($AN$353-AQ353)*0.02%)*100)*(AQ339*100)*7000*4.1868)*10000000</f>
        <v>#DIV/0!</v>
      </c>
      <c r="AU353" s="236" t="e">
        <f t="shared" si="252"/>
        <v>#DIV/0!</v>
      </c>
      <c r="BP353" s="4"/>
    </row>
    <row r="354" spans="38:68" ht="16.149999999999999" x14ac:dyDescent="0.4">
      <c r="AL354" s="13"/>
      <c r="AM354" s="221" t="s">
        <v>263</v>
      </c>
      <c r="AN354" s="228">
        <v>420</v>
      </c>
      <c r="AO354" s="221" t="s">
        <v>264</v>
      </c>
      <c r="AP354" s="312">
        <f>IFERROR(SUMPRODUCT(AQ344:AR344,AQ354:AR354)/AP344,)</f>
        <v>0</v>
      </c>
      <c r="AQ354" s="230">
        <v>374.38876160552502</v>
      </c>
      <c r="AR354" s="230">
        <v>363.43242700870798</v>
      </c>
      <c r="AS354" s="238" t="e">
        <f>AP338/((AP337*100)*(AP339*100)*7000*4.1868)*10000000-AP338/((AP337*100-((BJ$364-$AN$364)/100)*100)*(AP339*100)*7000*4.1868)*10000000</f>
        <v>#DIV/0!</v>
      </c>
      <c r="AT354" s="238" t="e">
        <f t="shared" ref="AT354:AU354" si="253">AQ338/((AQ337*100)*(AQ339*100)*7000*4.1868)*10000000-AQ338/((AQ337*100-((BK$364-$AN$364)/100)*100)*(AQ339*100)*7000*4.1868)*10000000</f>
        <v>#DIV/0!</v>
      </c>
      <c r="AU354" s="238" t="e">
        <f t="shared" si="253"/>
        <v>#DIV/0!</v>
      </c>
      <c r="BP354" s="4"/>
    </row>
    <row r="355" spans="38:68" ht="16.149999999999999" x14ac:dyDescent="0.4">
      <c r="AL355" s="13"/>
      <c r="AM355" s="225" t="s">
        <v>265</v>
      </c>
      <c r="AN355" s="228">
        <v>800</v>
      </c>
      <c r="AO355" s="225" t="s">
        <v>266</v>
      </c>
      <c r="AP355" s="232">
        <f>IFERROR(SUMPRODUCT(AQ344:AR344,AQ355:AR355)/AP344,)</f>
        <v>0</v>
      </c>
      <c r="AQ355" s="230">
        <v>800</v>
      </c>
      <c r="AR355" s="230">
        <v>800</v>
      </c>
      <c r="AS355" s="236" t="e">
        <f>AP338/((AP337*100)*(AP339*100)*7000*4.1868)*10000000-AP338/((AP337*100-((BM$364-$AN$364)/100)*100)*(AP339*100)*7000*4.1868)*10000000</f>
        <v>#DIV/0!</v>
      </c>
      <c r="AT355" s="236" t="e">
        <f t="shared" ref="AT355:AU355" si="254">AQ338/((AQ337*100)*(AQ339*100)*7000*4.1868)*10000000-AQ338/((AQ337*100-((BN$364-$AN$364)/100)*100)*(AQ339*100)*7000*4.1868)*10000000</f>
        <v>#DIV/0!</v>
      </c>
      <c r="AU355" s="236" t="e">
        <f t="shared" si="254"/>
        <v>#DIV/0!</v>
      </c>
      <c r="BP355" s="4"/>
    </row>
    <row r="356" spans="38:68" ht="16.149999999999999" x14ac:dyDescent="0.4">
      <c r="AL356" s="13"/>
      <c r="AM356" s="221" t="s">
        <v>267</v>
      </c>
      <c r="AN356" s="228">
        <f>AN340-AN357</f>
        <v>-93.080000000000013</v>
      </c>
      <c r="AO356" s="221" t="s">
        <v>268</v>
      </c>
      <c r="AP356" s="312">
        <f>IFERROR(SUMPRODUCT(AQ344:AR344,AQ356:AR356)/AP344,)</f>
        <v>0</v>
      </c>
      <c r="AQ356" s="230">
        <f>AQ340-AQ357</f>
        <v>-90.830788129199192</v>
      </c>
      <c r="AR356" s="230">
        <f>AR340-AR357</f>
        <v>-90.301926000587599</v>
      </c>
      <c r="AS356" s="231" t="s">
        <v>178</v>
      </c>
      <c r="AT356" s="231" t="s">
        <v>178</v>
      </c>
      <c r="AU356" s="231" t="s">
        <v>178</v>
      </c>
      <c r="BP356" s="4"/>
    </row>
    <row r="357" spans="38:68" ht="16.149999999999999" x14ac:dyDescent="0.4">
      <c r="AL357" s="13"/>
      <c r="AM357" s="225" t="s">
        <v>269</v>
      </c>
      <c r="AN357" s="228">
        <v>99.18</v>
      </c>
      <c r="AO357" s="225" t="s">
        <v>270</v>
      </c>
      <c r="AP357" s="232">
        <f>IFERROR(SUMPRODUCT(AQ344:AR344,AQ357:AR357)/AP344,)</f>
        <v>0</v>
      </c>
      <c r="AQ357" s="230">
        <v>100</v>
      </c>
      <c r="AR357" s="230">
        <v>100</v>
      </c>
      <c r="AS357" s="235" t="s">
        <v>178</v>
      </c>
      <c r="AT357" s="235" t="s">
        <v>178</v>
      </c>
      <c r="AU357" s="235" t="s">
        <v>178</v>
      </c>
      <c r="BP357" s="4"/>
    </row>
    <row r="358" spans="38:68" ht="16.149999999999999" x14ac:dyDescent="0.4">
      <c r="AL358" s="13"/>
      <c r="AM358" s="221" t="s">
        <v>271</v>
      </c>
      <c r="AN358" s="228">
        <v>13.14</v>
      </c>
      <c r="AO358" s="221" t="s">
        <v>272</v>
      </c>
      <c r="AP358" s="312">
        <f>IFERROR(SUMPRODUCT(AQ344:AR344,AQ358:AR358)/AP344,)</f>
        <v>0</v>
      </c>
      <c r="AQ358" s="230">
        <v>11.937541704408201</v>
      </c>
      <c r="AR358" s="230">
        <v>11.861568901051999</v>
      </c>
      <c r="AS358" s="231" t="e">
        <f>(AP342*(-0.0007*POWER((AP358-$AN$358),3)+0.0114*POWER((AP358-$AN$358),2)-0.5152*POWER((AP358-$AN$358),1))/100)/((AP337*100)*(AP339*100)*7000*4.1868)*10000000</f>
        <v>#DIV/0!</v>
      </c>
      <c r="AT358" s="231" t="e">
        <f t="shared" ref="AT358:AU358" si="255">(AQ342*(-0.0007*POWER((AQ358-$AN$358),3)+0.0114*POWER((AQ358-$AN$358),2)-0.5152*POWER((AQ358-$AN$358),1))/100)/((AQ337*100)*(AQ339*100)*7000*4.1868)*10000000</f>
        <v>#DIV/0!</v>
      </c>
      <c r="AU358" s="231" t="e">
        <f t="shared" si="255"/>
        <v>#DIV/0!</v>
      </c>
      <c r="BP358" s="4"/>
    </row>
    <row r="359" spans="38:68" ht="16.149999999999999" x14ac:dyDescent="0.4">
      <c r="AL359" s="13"/>
      <c r="AM359" s="225" t="s">
        <v>273</v>
      </c>
      <c r="AN359" s="228">
        <v>535</v>
      </c>
      <c r="AO359" s="225" t="s">
        <v>274</v>
      </c>
      <c r="AP359" s="232">
        <f>IFERROR(SUMPRODUCT(AQ344:AR344,AQ359:AR359)/AP344,)</f>
        <v>0</v>
      </c>
      <c r="AQ359" s="230">
        <v>520.30425491111896</v>
      </c>
      <c r="AR359" s="230">
        <v>518.98099880856796</v>
      </c>
      <c r="AS359" s="232" t="e">
        <f>(AP342*(0.00000004*POWER((AP359-$AN$359),4)-0.0000006*POWER((AP359-$AN$359),3)+0.00005*POWER((AP359-$AN$359),2)-0.0241*POWER((AP359-$AN$359),1))/100)/((AP337*100)*(AP339*100)*7000*4.1868)*10000000</f>
        <v>#DIV/0!</v>
      </c>
      <c r="AT359" s="232" t="e">
        <f t="shared" ref="AT359:AU359" si="256">(AQ342*(0.00000004*POWER((AQ359-$AN$359),4)-0.0000006*POWER((AQ359-$AN$359),3)+0.00005*POWER((AQ359-$AN$359),2)-0.0241*POWER((AQ359-$AN$359),1))/100)/((AQ337*100)*(AQ339*100)*7000*4.1868)*10000000</f>
        <v>#DIV/0!</v>
      </c>
      <c r="AU359" s="232" t="e">
        <f t="shared" si="256"/>
        <v>#DIV/0!</v>
      </c>
      <c r="BP359" s="4"/>
    </row>
    <row r="360" spans="38:68" ht="16.149999999999999" x14ac:dyDescent="0.4">
      <c r="AL360" s="13"/>
      <c r="AM360" s="221" t="s">
        <v>275</v>
      </c>
      <c r="AN360" s="228">
        <v>535</v>
      </c>
      <c r="AO360" s="221" t="s">
        <v>276</v>
      </c>
      <c r="AP360" s="312">
        <f>IFERROR(SUMPRODUCT(AQ344:AR344,AQ360:AR360)/AP344,)</f>
        <v>0</v>
      </c>
      <c r="AQ360" s="230">
        <v>526.41765382038795</v>
      </c>
      <c r="AR360" s="230">
        <v>516.963973966053</v>
      </c>
      <c r="AS360" s="231" t="e">
        <f>(AP342*(0.00000004*POWER((AP360-$AN$360),4)-0.0000006*POWER((AP360-$AN$360),3)+0.00005*POWER((AP360-$AN$360),2)-0.0241*POWER((AP360-$AN$360),1))/100)/((AP337*100)*(AP339*100)*7000*4.1868)*10000000</f>
        <v>#DIV/0!</v>
      </c>
      <c r="AT360" s="231" t="e">
        <f t="shared" ref="AT360:AU360" si="257">(AQ342*(0.00000004*POWER((AQ360-$AN$360),4)-0.0000006*POWER((AQ360-$AN$360),3)+0.00005*POWER((AQ360-$AN$360),2)-0.0241*POWER((AQ360-$AN$360),1))/100)/((AQ337*100)*(AQ339*100)*7000*4.1868)*10000000</f>
        <v>#DIV/0!</v>
      </c>
      <c r="AU360" s="231" t="e">
        <f t="shared" si="257"/>
        <v>#DIV/0!</v>
      </c>
      <c r="BP360" s="4"/>
    </row>
    <row r="361" spans="38:68" x14ac:dyDescent="0.4">
      <c r="AL361" s="13"/>
      <c r="AM361" s="239"/>
      <c r="AN361" s="239"/>
      <c r="AO361" s="239"/>
      <c r="AP361" s="239"/>
      <c r="AQ361" s="239"/>
      <c r="AR361" s="239"/>
      <c r="AS361" s="239"/>
      <c r="AT361" s="239"/>
      <c r="AU361" s="239"/>
      <c r="BP361" s="4"/>
    </row>
    <row r="362" spans="38:68" ht="16.899999999999999" x14ac:dyDescent="0.4">
      <c r="AL362" s="13"/>
      <c r="AM362" s="240" t="s">
        <v>277</v>
      </c>
      <c r="AN362" s="241">
        <f>AP336*AP343/1000/1000</f>
        <v>0</v>
      </c>
      <c r="AO362" s="240" t="s">
        <v>278</v>
      </c>
      <c r="AP362" s="313">
        <f>IFERROR(AP336*AP343/1000/1000*7000/AP345,0)</f>
        <v>0</v>
      </c>
      <c r="AQ362" s="243" t="e">
        <f t="shared" ref="AQ362:AR362" si="258">AQ336*AQ343/1000/1000*7000/AQ345</f>
        <v>#DIV/0!</v>
      </c>
      <c r="AR362" s="243" t="e">
        <f t="shared" si="258"/>
        <v>#DIV/0!</v>
      </c>
      <c r="AS362" s="244"/>
      <c r="AT362" s="244"/>
      <c r="AU362" s="244"/>
      <c r="BP362" s="4"/>
    </row>
    <row r="363" spans="38:68" ht="38.25" x14ac:dyDescent="0.4">
      <c r="AL363" s="13"/>
      <c r="AN363" s="246" t="s">
        <v>230</v>
      </c>
      <c r="AP363" s="246" t="s">
        <v>279</v>
      </c>
      <c r="AQ363" s="246" t="s">
        <v>280</v>
      </c>
      <c r="AR363" s="246" t="s">
        <v>281</v>
      </c>
      <c r="AS363" s="246" t="s">
        <v>282</v>
      </c>
      <c r="AT363" s="246" t="s">
        <v>283</v>
      </c>
      <c r="AU363" s="246" t="s">
        <v>284</v>
      </c>
      <c r="AV363" s="246" t="s">
        <v>285</v>
      </c>
      <c r="AW363" s="246" t="s">
        <v>286</v>
      </c>
      <c r="AX363" s="247" t="s">
        <v>287</v>
      </c>
      <c r="AY363" s="247" t="s">
        <v>288</v>
      </c>
      <c r="AZ363" s="247" t="s">
        <v>289</v>
      </c>
      <c r="BA363" s="247" t="s">
        <v>290</v>
      </c>
      <c r="BB363" s="247" t="s">
        <v>291</v>
      </c>
      <c r="BC363" s="247" t="s">
        <v>292</v>
      </c>
      <c r="BD363" s="247" t="s">
        <v>293</v>
      </c>
      <c r="BE363" s="247" t="s">
        <v>294</v>
      </c>
      <c r="BF363" s="247" t="s">
        <v>295</v>
      </c>
      <c r="BG363" s="247" t="s">
        <v>296</v>
      </c>
      <c r="BH363" s="247" t="s">
        <v>297</v>
      </c>
      <c r="BI363" s="247" t="s">
        <v>298</v>
      </c>
      <c r="BJ363" s="247" t="s">
        <v>299</v>
      </c>
      <c r="BK363" s="247" t="s">
        <v>300</v>
      </c>
      <c r="BL363" s="247" t="s">
        <v>301</v>
      </c>
      <c r="BM363" s="247" t="s">
        <v>302</v>
      </c>
      <c r="BN363" s="247" t="s">
        <v>303</v>
      </c>
      <c r="BO363" s="247" t="s">
        <v>304</v>
      </c>
      <c r="BP363" s="4"/>
    </row>
    <row r="364" spans="38:68" ht="19.149999999999999" x14ac:dyDescent="0.4">
      <c r="AL364" s="13"/>
      <c r="AN364" s="248">
        <f>100-SUM(AN365,AN373,AN382,AN386)</f>
        <v>91.593583597483359</v>
      </c>
      <c r="AP364" s="248" t="e">
        <f>100-SUM(AP365,AP373,AP382,AP386)</f>
        <v>#DIV/0!</v>
      </c>
      <c r="AQ364" s="248" t="e">
        <f t="shared" ref="AQ364:BO364" si="259">100-SUM(AQ365,AQ373,AQ382,AQ386)</f>
        <v>#DIV/0!</v>
      </c>
      <c r="AR364" s="248" t="e">
        <f t="shared" si="259"/>
        <v>#DIV/0!</v>
      </c>
      <c r="AS364" s="248" t="e">
        <f t="shared" si="259"/>
        <v>#DIV/0!</v>
      </c>
      <c r="AT364" s="248">
        <f t="shared" si="259"/>
        <v>93.077281254668293</v>
      </c>
      <c r="AU364" s="248">
        <f t="shared" si="259"/>
        <v>92.698757656397063</v>
      </c>
      <c r="AV364" s="248">
        <f t="shared" si="259"/>
        <v>91.347663418261504</v>
      </c>
      <c r="AW364" s="248">
        <f t="shared" si="259"/>
        <v>91.066448436132134</v>
      </c>
      <c r="AX364" s="248">
        <f t="shared" si="259"/>
        <v>91.983787442914064</v>
      </c>
      <c r="AY364" s="248">
        <f t="shared" si="259"/>
        <v>91.787775793131502</v>
      </c>
      <c r="AZ364" s="248">
        <f t="shared" si="259"/>
        <v>91.696767119024429</v>
      </c>
      <c r="BA364" s="248">
        <f t="shared" si="259"/>
        <v>99.580930605225362</v>
      </c>
      <c r="BB364" s="248">
        <f t="shared" si="259"/>
        <v>91.830152152809603</v>
      </c>
      <c r="BC364" s="248">
        <f t="shared" si="259"/>
        <v>91.830152152809603</v>
      </c>
      <c r="BD364" s="248">
        <f t="shared" si="259"/>
        <v>90.741130784922007</v>
      </c>
      <c r="BE364" s="248">
        <f t="shared" si="259"/>
        <v>92.188281652067104</v>
      </c>
      <c r="BF364" s="248">
        <f t="shared" si="259"/>
        <v>92.073801799911095</v>
      </c>
      <c r="BG364" s="248">
        <f t="shared" si="259"/>
        <v>93.390964077359243</v>
      </c>
      <c r="BH364" s="248">
        <f t="shared" si="259"/>
        <v>92.819486713464173</v>
      </c>
      <c r="BI364" s="248">
        <f t="shared" si="259"/>
        <v>92.045588727948683</v>
      </c>
      <c r="BJ364" s="248" t="e">
        <f t="shared" si="259"/>
        <v>#DIV/0!</v>
      </c>
      <c r="BK364" s="248">
        <f t="shared" si="259"/>
        <v>91.838909746747561</v>
      </c>
      <c r="BL364" s="248">
        <f t="shared" si="259"/>
        <v>91.819082776563008</v>
      </c>
      <c r="BM364" s="248">
        <f t="shared" si="259"/>
        <v>92.05390636449016</v>
      </c>
      <c r="BN364" s="248">
        <f t="shared" si="259"/>
        <v>91.91033261955873</v>
      </c>
      <c r="BO364" s="248">
        <f t="shared" si="259"/>
        <v>91.91033261955873</v>
      </c>
      <c r="BP364" s="4"/>
    </row>
    <row r="365" spans="38:68" ht="19.149999999999999" x14ac:dyDescent="0.4">
      <c r="AL365" s="13"/>
      <c r="AM365" s="249"/>
      <c r="AN365" s="250">
        <f>(AN369*AN366+AN370)*(AN367-AN368)/100</f>
        <v>6.3364614578005112</v>
      </c>
      <c r="AO365" s="251" t="s">
        <v>305</v>
      </c>
      <c r="AP365" s="250">
        <f>(AP369*AP366+AP370)*(AP367-AP368)/100</f>
        <v>0</v>
      </c>
      <c r="AQ365" s="250">
        <f t="shared" ref="AQ365:BO365" si="260">(AQ369*AQ366+AQ370)*(AQ367-AQ368)/100</f>
        <v>5.2630871745905941</v>
      </c>
      <c r="AR365" s="250">
        <f t="shared" si="260"/>
        <v>6.1223315574176436</v>
      </c>
      <c r="AS365" s="250">
        <f t="shared" si="260"/>
        <v>6.3364614578005112</v>
      </c>
      <c r="AT365" s="250">
        <f t="shared" si="260"/>
        <v>6.3364614578005112</v>
      </c>
      <c r="AU365" s="250">
        <f t="shared" si="260"/>
        <v>6.3364614578005112</v>
      </c>
      <c r="AV365" s="250">
        <f t="shared" si="260"/>
        <v>6.3364614578005112</v>
      </c>
      <c r="AW365" s="250">
        <f t="shared" si="260"/>
        <v>6.3364614578005112</v>
      </c>
      <c r="AX365" s="250">
        <f t="shared" si="260"/>
        <v>6.3364614578005112</v>
      </c>
      <c r="AY365" s="250">
        <f t="shared" si="260"/>
        <v>6.3364614578005112</v>
      </c>
      <c r="AZ365" s="250">
        <f t="shared" si="260"/>
        <v>6.3364614578005112</v>
      </c>
      <c r="BA365" s="250">
        <f t="shared" si="260"/>
        <v>-1.1350440409207163</v>
      </c>
      <c r="BB365" s="250">
        <f t="shared" si="260"/>
        <v>6.4145608184143228</v>
      </c>
      <c r="BC365" s="250">
        <f t="shared" si="260"/>
        <v>6.4145608184143228</v>
      </c>
      <c r="BD365" s="250">
        <f t="shared" si="260"/>
        <v>7.4715054987212284</v>
      </c>
      <c r="BE365" s="250">
        <f t="shared" si="260"/>
        <v>6.0666326021809622</v>
      </c>
      <c r="BF365" s="250">
        <f t="shared" si="260"/>
        <v>6.1777679683305857</v>
      </c>
      <c r="BG365" s="250">
        <f t="shared" si="260"/>
        <v>4.8558300000000001</v>
      </c>
      <c r="BH365" s="250">
        <f t="shared" si="260"/>
        <v>5.4273073638950731</v>
      </c>
      <c r="BI365" s="250">
        <f t="shared" si="260"/>
        <v>6.2012053494105501</v>
      </c>
      <c r="BJ365" s="250">
        <f t="shared" si="260"/>
        <v>6.3364614578005112</v>
      </c>
      <c r="BK365" s="250">
        <f t="shared" si="260"/>
        <v>6.3364614578005112</v>
      </c>
      <c r="BL365" s="250">
        <f t="shared" si="260"/>
        <v>6.3364614578005112</v>
      </c>
      <c r="BM365" s="250">
        <f t="shared" si="260"/>
        <v>6.3364614578005112</v>
      </c>
      <c r="BN365" s="250">
        <f t="shared" si="260"/>
        <v>6.3364614578005112</v>
      </c>
      <c r="BO365" s="250">
        <f t="shared" si="260"/>
        <v>6.3364614578005112</v>
      </c>
      <c r="BP365" s="4"/>
    </row>
    <row r="366" spans="38:68" ht="19.149999999999999" x14ac:dyDescent="0.4">
      <c r="AL366" s="13"/>
      <c r="AM366" s="249"/>
      <c r="AN366" s="250">
        <f>21/(21-AN371)</f>
        <v>1.3427109974424551</v>
      </c>
      <c r="AO366" s="251" t="s">
        <v>306</v>
      </c>
      <c r="AP366" s="250">
        <f>21/(21-AP371)</f>
        <v>1</v>
      </c>
      <c r="AQ366" s="250">
        <f t="shared" ref="AQ366:BO366" si="261">21/(21-AQ371)</f>
        <v>1.1322757100454992</v>
      </c>
      <c r="AR366" s="250">
        <f t="shared" si="261"/>
        <v>1.3114042495192633</v>
      </c>
      <c r="AS366" s="250">
        <f t="shared" si="261"/>
        <v>1.3427109974424551</v>
      </c>
      <c r="AT366" s="250">
        <f t="shared" si="261"/>
        <v>1.3427109974424551</v>
      </c>
      <c r="AU366" s="250">
        <f t="shared" si="261"/>
        <v>1.3427109974424551</v>
      </c>
      <c r="AV366" s="250">
        <f t="shared" si="261"/>
        <v>1.3427109974424551</v>
      </c>
      <c r="AW366" s="250">
        <f t="shared" si="261"/>
        <v>1.3427109974424551</v>
      </c>
      <c r="AX366" s="250">
        <f t="shared" si="261"/>
        <v>1.3427109974424551</v>
      </c>
      <c r="AY366" s="250">
        <f t="shared" si="261"/>
        <v>1.3427109974424551</v>
      </c>
      <c r="AZ366" s="250">
        <f t="shared" si="261"/>
        <v>1.3427109974424551</v>
      </c>
      <c r="BA366" s="250">
        <f t="shared" si="261"/>
        <v>1.3427109974424551</v>
      </c>
      <c r="BB366" s="250">
        <f t="shared" si="261"/>
        <v>1.3427109974424551</v>
      </c>
      <c r="BC366" s="250">
        <f t="shared" si="261"/>
        <v>1.3427109974424551</v>
      </c>
      <c r="BD366" s="250">
        <f t="shared" si="261"/>
        <v>1.3427109974424551</v>
      </c>
      <c r="BE366" s="250">
        <f t="shared" si="261"/>
        <v>1.3427109974424551</v>
      </c>
      <c r="BF366" s="250">
        <f t="shared" si="261"/>
        <v>1.3427109974424551</v>
      </c>
      <c r="BG366" s="250">
        <f t="shared" si="261"/>
        <v>1</v>
      </c>
      <c r="BH366" s="250">
        <f t="shared" si="261"/>
        <v>1.1322757100454992</v>
      </c>
      <c r="BI366" s="250">
        <f t="shared" si="261"/>
        <v>1.3114042495192633</v>
      </c>
      <c r="BJ366" s="250">
        <f t="shared" si="261"/>
        <v>1.3427109974424551</v>
      </c>
      <c r="BK366" s="250">
        <f t="shared" si="261"/>
        <v>1.3427109974424551</v>
      </c>
      <c r="BL366" s="250">
        <f t="shared" si="261"/>
        <v>1.3427109974424551</v>
      </c>
      <c r="BM366" s="250">
        <f t="shared" si="261"/>
        <v>1.3427109974424551</v>
      </c>
      <c r="BN366" s="250">
        <f t="shared" si="261"/>
        <v>1.3427109974424551</v>
      </c>
      <c r="BO366" s="250">
        <f t="shared" si="261"/>
        <v>1.3427109974424551</v>
      </c>
      <c r="BP366" s="4"/>
    </row>
    <row r="367" spans="38:68" ht="19.149999999999999" x14ac:dyDescent="0.4">
      <c r="AL367" s="13"/>
      <c r="AM367" s="249"/>
      <c r="AN367" s="252">
        <f>AN350</f>
        <v>143.5</v>
      </c>
      <c r="AO367" s="251" t="s">
        <v>307</v>
      </c>
      <c r="AP367" s="252">
        <f t="shared" ref="AP367:AR368" si="262">AP350</f>
        <v>0</v>
      </c>
      <c r="AQ367" s="252">
        <f t="shared" si="262"/>
        <v>145</v>
      </c>
      <c r="AR367" s="252">
        <f t="shared" si="262"/>
        <v>145</v>
      </c>
      <c r="AS367" s="252">
        <f t="shared" ref="AS367:AZ367" si="263">$AN$367</f>
        <v>143.5</v>
      </c>
      <c r="AT367" s="252">
        <f t="shared" si="263"/>
        <v>143.5</v>
      </c>
      <c r="AU367" s="252">
        <f t="shared" si="263"/>
        <v>143.5</v>
      </c>
      <c r="AV367" s="252">
        <f t="shared" si="263"/>
        <v>143.5</v>
      </c>
      <c r="AW367" s="252">
        <f t="shared" si="263"/>
        <v>143.5</v>
      </c>
      <c r="AX367" s="252">
        <f t="shared" si="263"/>
        <v>143.5</v>
      </c>
      <c r="AY367" s="252">
        <f t="shared" si="263"/>
        <v>143.5</v>
      </c>
      <c r="AZ367" s="252">
        <f t="shared" si="263"/>
        <v>143.5</v>
      </c>
      <c r="BA367" s="252">
        <f>AP350</f>
        <v>0</v>
      </c>
      <c r="BB367" s="252">
        <f>AQ350</f>
        <v>145</v>
      </c>
      <c r="BC367" s="252">
        <f>AR350</f>
        <v>145</v>
      </c>
      <c r="BD367" s="252">
        <f t="shared" ref="BD367:BO367" si="264">$AN$367</f>
        <v>143.5</v>
      </c>
      <c r="BE367" s="252">
        <f t="shared" si="264"/>
        <v>143.5</v>
      </c>
      <c r="BF367" s="252">
        <f t="shared" si="264"/>
        <v>143.5</v>
      </c>
      <c r="BG367" s="252">
        <f t="shared" si="264"/>
        <v>143.5</v>
      </c>
      <c r="BH367" s="252">
        <f t="shared" si="264"/>
        <v>143.5</v>
      </c>
      <c r="BI367" s="252">
        <f t="shared" si="264"/>
        <v>143.5</v>
      </c>
      <c r="BJ367" s="252">
        <f t="shared" si="264"/>
        <v>143.5</v>
      </c>
      <c r="BK367" s="252">
        <f t="shared" si="264"/>
        <v>143.5</v>
      </c>
      <c r="BL367" s="252">
        <f t="shared" si="264"/>
        <v>143.5</v>
      </c>
      <c r="BM367" s="252">
        <f t="shared" si="264"/>
        <v>143.5</v>
      </c>
      <c r="BN367" s="252">
        <f t="shared" si="264"/>
        <v>143.5</v>
      </c>
      <c r="BO367" s="252">
        <f t="shared" si="264"/>
        <v>143.5</v>
      </c>
      <c r="BP367" s="4"/>
    </row>
    <row r="368" spans="38:68" ht="19.149999999999999" x14ac:dyDescent="0.4">
      <c r="AL368" s="13"/>
      <c r="AM368" s="249"/>
      <c r="AN368" s="252">
        <f>AN351</f>
        <v>21.8</v>
      </c>
      <c r="AO368" s="251" t="s">
        <v>308</v>
      </c>
      <c r="AP368" s="252">
        <f t="shared" si="262"/>
        <v>0</v>
      </c>
      <c r="AQ368" s="252">
        <f t="shared" si="262"/>
        <v>26.982414814260999</v>
      </c>
      <c r="AR368" s="252">
        <f t="shared" si="262"/>
        <v>24.8479152752858</v>
      </c>
      <c r="AS368" s="252">
        <f t="shared" ref="AS368:BC368" si="265">$AN$368</f>
        <v>21.8</v>
      </c>
      <c r="AT368" s="252">
        <f t="shared" si="265"/>
        <v>21.8</v>
      </c>
      <c r="AU368" s="252">
        <f t="shared" si="265"/>
        <v>21.8</v>
      </c>
      <c r="AV368" s="252">
        <f t="shared" si="265"/>
        <v>21.8</v>
      </c>
      <c r="AW368" s="252">
        <f t="shared" si="265"/>
        <v>21.8</v>
      </c>
      <c r="AX368" s="252">
        <f t="shared" si="265"/>
        <v>21.8</v>
      </c>
      <c r="AY368" s="252">
        <f t="shared" si="265"/>
        <v>21.8</v>
      </c>
      <c r="AZ368" s="252">
        <f t="shared" si="265"/>
        <v>21.8</v>
      </c>
      <c r="BA368" s="252">
        <f t="shared" si="265"/>
        <v>21.8</v>
      </c>
      <c r="BB368" s="252">
        <f t="shared" si="265"/>
        <v>21.8</v>
      </c>
      <c r="BC368" s="252">
        <f t="shared" si="265"/>
        <v>21.8</v>
      </c>
      <c r="BD368" s="252">
        <f>AP351</f>
        <v>0</v>
      </c>
      <c r="BE368" s="252">
        <f>AQ351</f>
        <v>26.982414814260999</v>
      </c>
      <c r="BF368" s="252">
        <f>AR351</f>
        <v>24.8479152752858</v>
      </c>
      <c r="BG368" s="252">
        <f t="shared" ref="BG368:BO368" si="266">$AN$368</f>
        <v>21.8</v>
      </c>
      <c r="BH368" s="252">
        <f t="shared" si="266"/>
        <v>21.8</v>
      </c>
      <c r="BI368" s="252">
        <f t="shared" si="266"/>
        <v>21.8</v>
      </c>
      <c r="BJ368" s="252">
        <f t="shared" si="266"/>
        <v>21.8</v>
      </c>
      <c r="BK368" s="252">
        <f t="shared" si="266"/>
        <v>21.8</v>
      </c>
      <c r="BL368" s="252">
        <f t="shared" si="266"/>
        <v>21.8</v>
      </c>
      <c r="BM368" s="252">
        <f t="shared" si="266"/>
        <v>21.8</v>
      </c>
      <c r="BN368" s="252">
        <f t="shared" si="266"/>
        <v>21.8</v>
      </c>
      <c r="BO368" s="252">
        <f t="shared" si="266"/>
        <v>21.8</v>
      </c>
      <c r="BP368" s="4"/>
    </row>
    <row r="369" spans="38:68" ht="19.149999999999999" x14ac:dyDescent="0.4">
      <c r="AL369" s="13"/>
      <c r="AM369" s="249"/>
      <c r="AN369" s="253">
        <v>3.55</v>
      </c>
      <c r="AO369" s="251" t="s">
        <v>309</v>
      </c>
      <c r="AP369" s="253">
        <v>3.55</v>
      </c>
      <c r="AQ369" s="253">
        <v>3.55</v>
      </c>
      <c r="AR369" s="253">
        <v>3.55</v>
      </c>
      <c r="AS369" s="253">
        <v>3.55</v>
      </c>
      <c r="AT369" s="253">
        <v>3.55</v>
      </c>
      <c r="AU369" s="253">
        <v>3.55</v>
      </c>
      <c r="AV369" s="253">
        <v>3.55</v>
      </c>
      <c r="AW369" s="253">
        <v>3.55</v>
      </c>
      <c r="AX369" s="253">
        <v>3.55</v>
      </c>
      <c r="AY369" s="253">
        <v>3.55</v>
      </c>
      <c r="AZ369" s="253">
        <v>3.55</v>
      </c>
      <c r="BA369" s="253">
        <v>3.55</v>
      </c>
      <c r="BB369" s="253">
        <v>3.55</v>
      </c>
      <c r="BC369" s="253">
        <v>3.55</v>
      </c>
      <c r="BD369" s="253">
        <v>3.55</v>
      </c>
      <c r="BE369" s="253">
        <v>3.55</v>
      </c>
      <c r="BF369" s="253">
        <v>3.55</v>
      </c>
      <c r="BG369" s="253">
        <v>3.55</v>
      </c>
      <c r="BH369" s="253">
        <v>3.55</v>
      </c>
      <c r="BI369" s="253">
        <v>3.55</v>
      </c>
      <c r="BJ369" s="253">
        <v>3.55</v>
      </c>
      <c r="BK369" s="253">
        <v>3.55</v>
      </c>
      <c r="BL369" s="253">
        <v>3.55</v>
      </c>
      <c r="BM369" s="253">
        <v>3.55</v>
      </c>
      <c r="BN369" s="253">
        <v>3.55</v>
      </c>
      <c r="BO369" s="253">
        <v>3.55</v>
      </c>
      <c r="BP369" s="4"/>
    </row>
    <row r="370" spans="38:68" ht="19.149999999999999" x14ac:dyDescent="0.4">
      <c r="AL370" s="13"/>
      <c r="AM370" s="249"/>
      <c r="AN370" s="253">
        <v>0.44</v>
      </c>
      <c r="AO370" s="251" t="s">
        <v>310</v>
      </c>
      <c r="AP370" s="253">
        <v>0.44</v>
      </c>
      <c r="AQ370" s="253">
        <v>0.44</v>
      </c>
      <c r="AR370" s="253">
        <v>0.44</v>
      </c>
      <c r="AS370" s="253">
        <v>0.44</v>
      </c>
      <c r="AT370" s="253">
        <v>0.44</v>
      </c>
      <c r="AU370" s="253">
        <v>0.44</v>
      </c>
      <c r="AV370" s="253">
        <v>0.44</v>
      </c>
      <c r="AW370" s="253">
        <v>0.44</v>
      </c>
      <c r="AX370" s="253">
        <v>0.44</v>
      </c>
      <c r="AY370" s="253">
        <v>0.44</v>
      </c>
      <c r="AZ370" s="253">
        <v>0.44</v>
      </c>
      <c r="BA370" s="253">
        <v>0.44</v>
      </c>
      <c r="BB370" s="253">
        <v>0.44</v>
      </c>
      <c r="BC370" s="253">
        <v>0.44</v>
      </c>
      <c r="BD370" s="253">
        <v>0.44</v>
      </c>
      <c r="BE370" s="253">
        <v>0.44</v>
      </c>
      <c r="BF370" s="253">
        <v>0.44</v>
      </c>
      <c r="BG370" s="253">
        <v>0.44</v>
      </c>
      <c r="BH370" s="253">
        <v>0.44</v>
      </c>
      <c r="BI370" s="253">
        <v>0.44</v>
      </c>
      <c r="BJ370" s="253">
        <v>0.44</v>
      </c>
      <c r="BK370" s="253">
        <v>0.44</v>
      </c>
      <c r="BL370" s="253">
        <v>0.44</v>
      </c>
      <c r="BM370" s="253">
        <v>0.44</v>
      </c>
      <c r="BN370" s="253">
        <v>0.44</v>
      </c>
      <c r="BO370" s="253">
        <v>0.44</v>
      </c>
      <c r="BP370" s="4"/>
    </row>
    <row r="371" spans="38:68" ht="19.149999999999999" x14ac:dyDescent="0.4">
      <c r="AL371" s="13"/>
      <c r="AM371" s="249"/>
      <c r="AN371" s="252">
        <f>AN352</f>
        <v>5.36</v>
      </c>
      <c r="AO371" s="251" t="s">
        <v>311</v>
      </c>
      <c r="AP371" s="252">
        <f>AP352</f>
        <v>0</v>
      </c>
      <c r="AQ371" s="252">
        <f>AQ352</f>
        <v>2.4532804919429601</v>
      </c>
      <c r="AR371" s="252">
        <f>AR352</f>
        <v>4.9866311187429702</v>
      </c>
      <c r="AS371" s="252">
        <f t="shared" ref="AS371:BF371" si="267">$AN$371</f>
        <v>5.36</v>
      </c>
      <c r="AT371" s="252">
        <f t="shared" si="267"/>
        <v>5.36</v>
      </c>
      <c r="AU371" s="252">
        <f t="shared" si="267"/>
        <v>5.36</v>
      </c>
      <c r="AV371" s="252">
        <f t="shared" si="267"/>
        <v>5.36</v>
      </c>
      <c r="AW371" s="252">
        <f t="shared" si="267"/>
        <v>5.36</v>
      </c>
      <c r="AX371" s="252">
        <f t="shared" si="267"/>
        <v>5.36</v>
      </c>
      <c r="AY371" s="252">
        <f t="shared" si="267"/>
        <v>5.36</v>
      </c>
      <c r="AZ371" s="252">
        <f t="shared" si="267"/>
        <v>5.36</v>
      </c>
      <c r="BA371" s="252">
        <f t="shared" si="267"/>
        <v>5.36</v>
      </c>
      <c r="BB371" s="252">
        <f t="shared" si="267"/>
        <v>5.36</v>
      </c>
      <c r="BC371" s="252">
        <f t="shared" si="267"/>
        <v>5.36</v>
      </c>
      <c r="BD371" s="252">
        <f t="shared" si="267"/>
        <v>5.36</v>
      </c>
      <c r="BE371" s="252">
        <f t="shared" si="267"/>
        <v>5.36</v>
      </c>
      <c r="BF371" s="252">
        <f t="shared" si="267"/>
        <v>5.36</v>
      </c>
      <c r="BG371" s="252">
        <f>AP352</f>
        <v>0</v>
      </c>
      <c r="BH371" s="252">
        <f>AQ352</f>
        <v>2.4532804919429601</v>
      </c>
      <c r="BI371" s="252">
        <f>AR352</f>
        <v>4.9866311187429702</v>
      </c>
      <c r="BJ371" s="252">
        <f t="shared" ref="BJ371:BO371" si="268">$AN$371</f>
        <v>5.36</v>
      </c>
      <c r="BK371" s="252">
        <f t="shared" si="268"/>
        <v>5.36</v>
      </c>
      <c r="BL371" s="252">
        <f t="shared" si="268"/>
        <v>5.36</v>
      </c>
      <c r="BM371" s="252">
        <f t="shared" si="268"/>
        <v>5.36</v>
      </c>
      <c r="BN371" s="252">
        <f t="shared" si="268"/>
        <v>5.36</v>
      </c>
      <c r="BO371" s="252">
        <f t="shared" si="268"/>
        <v>5.36</v>
      </c>
      <c r="BP371" s="4"/>
    </row>
    <row r="372" spans="38:68" ht="19.149999999999999" x14ac:dyDescent="0.4">
      <c r="AL372" s="13"/>
      <c r="AM372" s="254"/>
      <c r="AN372" s="255"/>
      <c r="AO372" s="256"/>
      <c r="AP372" s="255"/>
      <c r="AQ372" s="255"/>
      <c r="AR372" s="255"/>
      <c r="AS372" s="255"/>
      <c r="AT372" s="255"/>
      <c r="AU372" s="255"/>
      <c r="AV372" s="255"/>
      <c r="AW372" s="255"/>
      <c r="AX372" s="255"/>
      <c r="AY372" s="255"/>
      <c r="AZ372" s="255"/>
      <c r="BA372" s="255"/>
      <c r="BB372" s="255"/>
      <c r="BC372" s="255"/>
      <c r="BD372" s="255"/>
      <c r="BE372" s="255"/>
      <c r="BF372" s="255"/>
      <c r="BG372" s="255"/>
      <c r="BH372" s="255"/>
      <c r="BI372" s="255"/>
      <c r="BJ372" s="255"/>
      <c r="BK372" s="255"/>
      <c r="BL372" s="255"/>
      <c r="BM372" s="255"/>
      <c r="BN372" s="255"/>
      <c r="BO372" s="255"/>
      <c r="BP372" s="4"/>
    </row>
    <row r="373" spans="38:68" ht="19.149999999999999" x14ac:dyDescent="0.4">
      <c r="AL373" s="13"/>
      <c r="AM373" s="249"/>
      <c r="AN373" s="250">
        <f>337.27*AN374/AN375*AN376</f>
        <v>0.81248749713755375</v>
      </c>
      <c r="AO373" s="251" t="s">
        <v>312</v>
      </c>
      <c r="AP373" s="250" t="e">
        <f>337.27*AP374/AP375*AP376</f>
        <v>#DIV/0!</v>
      </c>
      <c r="AQ373" s="250" t="e">
        <f t="shared" ref="AQ373:BO373" si="269">337.27*AQ374/AQ375*AQ376</f>
        <v>#DIV/0!</v>
      </c>
      <c r="AR373" s="250" t="e">
        <f t="shared" si="269"/>
        <v>#DIV/0!</v>
      </c>
      <c r="AS373" s="250" t="e">
        <f t="shared" si="269"/>
        <v>#DIV/0!</v>
      </c>
      <c r="AT373" s="250">
        <f t="shared" si="269"/>
        <v>0</v>
      </c>
      <c r="AU373" s="250">
        <f t="shared" si="269"/>
        <v>7.2058209751520733E-2</v>
      </c>
      <c r="AV373" s="250">
        <f t="shared" si="269"/>
        <v>1.4196513508019108</v>
      </c>
      <c r="AW373" s="250">
        <f t="shared" si="269"/>
        <v>1.7001376191773137</v>
      </c>
      <c r="AX373" s="250">
        <f t="shared" si="269"/>
        <v>0.78638198719720631</v>
      </c>
      <c r="AY373" s="250">
        <f t="shared" si="269"/>
        <v>0.97866682199215915</v>
      </c>
      <c r="AZ373" s="250">
        <f t="shared" si="269"/>
        <v>1.0679451270571707</v>
      </c>
      <c r="BA373" s="250">
        <f t="shared" si="269"/>
        <v>0.85844019694872709</v>
      </c>
      <c r="BB373" s="250">
        <f t="shared" si="269"/>
        <v>0.85844019694872709</v>
      </c>
      <c r="BC373" s="250">
        <f t="shared" si="269"/>
        <v>0.85844019694872709</v>
      </c>
      <c r="BD373" s="250">
        <f t="shared" si="269"/>
        <v>0.85844019694872709</v>
      </c>
      <c r="BE373" s="250">
        <f t="shared" si="269"/>
        <v>0.85844019694872709</v>
      </c>
      <c r="BF373" s="250">
        <f t="shared" si="269"/>
        <v>0.85844019694872709</v>
      </c>
      <c r="BG373" s="250">
        <f t="shared" si="269"/>
        <v>0.85844019694872709</v>
      </c>
      <c r="BH373" s="250">
        <f t="shared" si="269"/>
        <v>0.85844019694872709</v>
      </c>
      <c r="BI373" s="250">
        <f t="shared" si="269"/>
        <v>0.85844019694872709</v>
      </c>
      <c r="BJ373" s="250">
        <f t="shared" si="269"/>
        <v>0.85844019694872709</v>
      </c>
      <c r="BK373" s="250">
        <f t="shared" si="269"/>
        <v>0.85844019694872709</v>
      </c>
      <c r="BL373" s="250">
        <f t="shared" si="269"/>
        <v>0.85844019694872709</v>
      </c>
      <c r="BM373" s="250">
        <f t="shared" si="269"/>
        <v>0.85844019694872709</v>
      </c>
      <c r="BN373" s="250">
        <f t="shared" si="269"/>
        <v>0.85844019694872709</v>
      </c>
      <c r="BO373" s="250">
        <f t="shared" si="269"/>
        <v>0.85844019694872709</v>
      </c>
      <c r="BP373" s="4"/>
    </row>
    <row r="374" spans="38:68" ht="19.149999999999999" x14ac:dyDescent="0.4">
      <c r="AL374" s="13"/>
      <c r="AM374" s="249"/>
      <c r="AN374" s="252">
        <f>AN347</f>
        <v>33.270000000000003</v>
      </c>
      <c r="AO374" s="251" t="s">
        <v>313</v>
      </c>
      <c r="AP374" s="252">
        <f>AP347</f>
        <v>0</v>
      </c>
      <c r="AQ374" s="252">
        <f>AQ347</f>
        <v>0</v>
      </c>
      <c r="AR374" s="252">
        <f>AR347</f>
        <v>0</v>
      </c>
      <c r="AS374" s="252">
        <f>$AN$374</f>
        <v>33.270000000000003</v>
      </c>
      <c r="AT374" s="252">
        <f>AP347</f>
        <v>0</v>
      </c>
      <c r="AU374" s="252">
        <f t="shared" ref="AU374:BO374" si="270">$AN$374</f>
        <v>33.270000000000003</v>
      </c>
      <c r="AV374" s="252">
        <f t="shared" si="270"/>
        <v>33.270000000000003</v>
      </c>
      <c r="AW374" s="252">
        <f t="shared" si="270"/>
        <v>33.270000000000003</v>
      </c>
      <c r="AX374" s="252">
        <f t="shared" si="270"/>
        <v>33.270000000000003</v>
      </c>
      <c r="AY374" s="252">
        <f t="shared" si="270"/>
        <v>33.270000000000003</v>
      </c>
      <c r="AZ374" s="252">
        <f t="shared" si="270"/>
        <v>33.270000000000003</v>
      </c>
      <c r="BA374" s="252">
        <f t="shared" si="270"/>
        <v>33.270000000000003</v>
      </c>
      <c r="BB374" s="252">
        <f t="shared" si="270"/>
        <v>33.270000000000003</v>
      </c>
      <c r="BC374" s="252">
        <f t="shared" si="270"/>
        <v>33.270000000000003</v>
      </c>
      <c r="BD374" s="252">
        <f t="shared" si="270"/>
        <v>33.270000000000003</v>
      </c>
      <c r="BE374" s="252">
        <f t="shared" si="270"/>
        <v>33.270000000000003</v>
      </c>
      <c r="BF374" s="252">
        <f t="shared" si="270"/>
        <v>33.270000000000003</v>
      </c>
      <c r="BG374" s="252">
        <f t="shared" si="270"/>
        <v>33.270000000000003</v>
      </c>
      <c r="BH374" s="252">
        <f t="shared" si="270"/>
        <v>33.270000000000003</v>
      </c>
      <c r="BI374" s="252">
        <f t="shared" si="270"/>
        <v>33.270000000000003</v>
      </c>
      <c r="BJ374" s="252">
        <f t="shared" si="270"/>
        <v>33.270000000000003</v>
      </c>
      <c r="BK374" s="252">
        <f t="shared" si="270"/>
        <v>33.270000000000003</v>
      </c>
      <c r="BL374" s="252">
        <f t="shared" si="270"/>
        <v>33.270000000000003</v>
      </c>
      <c r="BM374" s="252">
        <f t="shared" si="270"/>
        <v>33.270000000000003</v>
      </c>
      <c r="BN374" s="252">
        <f t="shared" si="270"/>
        <v>33.270000000000003</v>
      </c>
      <c r="BO374" s="252">
        <f t="shared" si="270"/>
        <v>33.270000000000003</v>
      </c>
      <c r="BP374" s="4"/>
    </row>
    <row r="375" spans="38:68" ht="19.149999999999999" x14ac:dyDescent="0.4">
      <c r="AL375" s="13"/>
      <c r="AM375" s="249"/>
      <c r="AN375" s="252">
        <f>AN345*4.1868</f>
        <v>15729.388919999999</v>
      </c>
      <c r="AO375" s="251" t="s">
        <v>314</v>
      </c>
      <c r="AP375" s="252">
        <f>AP345*4.1868</f>
        <v>0</v>
      </c>
      <c r="AQ375" s="252">
        <f>AQ345*4.1868</f>
        <v>0</v>
      </c>
      <c r="AR375" s="252">
        <f>AR345*4.1868</f>
        <v>0</v>
      </c>
      <c r="AS375" s="252">
        <f>AP345*4.1868</f>
        <v>0</v>
      </c>
      <c r="AT375" s="252">
        <f t="shared" ref="AT375:BO375" si="271">$AN$375</f>
        <v>15729.388919999999</v>
      </c>
      <c r="AU375" s="252">
        <f t="shared" si="271"/>
        <v>15729.388919999999</v>
      </c>
      <c r="AV375" s="252">
        <f t="shared" si="271"/>
        <v>15729.388919999999</v>
      </c>
      <c r="AW375" s="252">
        <f t="shared" si="271"/>
        <v>15729.388919999999</v>
      </c>
      <c r="AX375" s="252">
        <f t="shared" si="271"/>
        <v>15729.388919999999</v>
      </c>
      <c r="AY375" s="252">
        <f t="shared" si="271"/>
        <v>15729.388919999999</v>
      </c>
      <c r="AZ375" s="252">
        <f t="shared" si="271"/>
        <v>15729.388919999999</v>
      </c>
      <c r="BA375" s="252">
        <f t="shared" si="271"/>
        <v>15729.388919999999</v>
      </c>
      <c r="BB375" s="252">
        <f t="shared" si="271"/>
        <v>15729.388919999999</v>
      </c>
      <c r="BC375" s="252">
        <f t="shared" si="271"/>
        <v>15729.388919999999</v>
      </c>
      <c r="BD375" s="252">
        <f t="shared" si="271"/>
        <v>15729.388919999999</v>
      </c>
      <c r="BE375" s="252">
        <f t="shared" si="271"/>
        <v>15729.388919999999</v>
      </c>
      <c r="BF375" s="252">
        <f t="shared" si="271"/>
        <v>15729.388919999999</v>
      </c>
      <c r="BG375" s="252">
        <f t="shared" si="271"/>
        <v>15729.388919999999</v>
      </c>
      <c r="BH375" s="252">
        <f t="shared" si="271"/>
        <v>15729.388919999999</v>
      </c>
      <c r="BI375" s="252">
        <f t="shared" si="271"/>
        <v>15729.388919999999</v>
      </c>
      <c r="BJ375" s="252">
        <f t="shared" si="271"/>
        <v>15729.388919999999</v>
      </c>
      <c r="BK375" s="252">
        <f t="shared" si="271"/>
        <v>15729.388919999999</v>
      </c>
      <c r="BL375" s="252">
        <f t="shared" si="271"/>
        <v>15729.388919999999</v>
      </c>
      <c r="BM375" s="252">
        <f t="shared" si="271"/>
        <v>15729.388919999999</v>
      </c>
      <c r="BN375" s="252">
        <f t="shared" si="271"/>
        <v>15729.388919999999</v>
      </c>
      <c r="BO375" s="252">
        <f t="shared" si="271"/>
        <v>15729.388919999999</v>
      </c>
      <c r="BP375" s="4"/>
    </row>
    <row r="376" spans="38:68" ht="19.149999999999999" x14ac:dyDescent="0.4">
      <c r="AL376" s="13"/>
      <c r="AM376" s="249"/>
      <c r="AN376" s="250">
        <f>(AN377*AN379/(100-AN379)+AN378*AN380/(100-AN380))*100</f>
        <v>1.1389325996067567</v>
      </c>
      <c r="AO376" s="251" t="s">
        <v>315</v>
      </c>
      <c r="AP376" s="250">
        <f>(AP377*AP379/(100-AP379)+AP378*AP380/(100-AP380))*100</f>
        <v>0</v>
      </c>
      <c r="AQ376" s="250">
        <f t="shared" ref="AQ376:BO376" si="272">(AQ377*AQ379/(100-AQ379)+AQ378*AQ380/(100-AQ380))*100</f>
        <v>2.1585774947744292</v>
      </c>
      <c r="AR376" s="250">
        <f t="shared" si="272"/>
        <v>2.6769078424470614</v>
      </c>
      <c r="AS376" s="250">
        <f t="shared" si="272"/>
        <v>1.2033483943596301</v>
      </c>
      <c r="AT376" s="250">
        <f t="shared" si="272"/>
        <v>1.2033483943596301</v>
      </c>
      <c r="AU376" s="250">
        <f t="shared" si="272"/>
        <v>0.10101010101010099</v>
      </c>
      <c r="AV376" s="250">
        <f t="shared" si="272"/>
        <v>1.9900456427950741</v>
      </c>
      <c r="AW376" s="250">
        <f t="shared" si="272"/>
        <v>2.3832270221027638</v>
      </c>
      <c r="AX376" s="250">
        <f t="shared" si="272"/>
        <v>1.1023382933495292</v>
      </c>
      <c r="AY376" s="250">
        <f t="shared" si="272"/>
        <v>1.3718802463389852</v>
      </c>
      <c r="AZ376" s="250">
        <f t="shared" si="272"/>
        <v>1.4970292147039272</v>
      </c>
      <c r="BA376" s="250">
        <f t="shared" si="272"/>
        <v>1.2033483943596301</v>
      </c>
      <c r="BB376" s="250">
        <f t="shared" si="272"/>
        <v>1.2033483943596301</v>
      </c>
      <c r="BC376" s="250">
        <f t="shared" si="272"/>
        <v>1.2033483943596301</v>
      </c>
      <c r="BD376" s="250">
        <f t="shared" si="272"/>
        <v>1.2033483943596301</v>
      </c>
      <c r="BE376" s="250">
        <f t="shared" si="272"/>
        <v>1.2033483943596301</v>
      </c>
      <c r="BF376" s="250">
        <f t="shared" si="272"/>
        <v>1.2033483943596301</v>
      </c>
      <c r="BG376" s="250">
        <f t="shared" si="272"/>
        <v>1.2033483943596301</v>
      </c>
      <c r="BH376" s="250">
        <f t="shared" si="272"/>
        <v>1.2033483943596301</v>
      </c>
      <c r="BI376" s="250">
        <f t="shared" si="272"/>
        <v>1.2033483943596301</v>
      </c>
      <c r="BJ376" s="250">
        <f t="shared" si="272"/>
        <v>1.2033483943596301</v>
      </c>
      <c r="BK376" s="250">
        <f t="shared" si="272"/>
        <v>1.2033483943596301</v>
      </c>
      <c r="BL376" s="250">
        <f t="shared" si="272"/>
        <v>1.2033483943596301</v>
      </c>
      <c r="BM376" s="250">
        <f t="shared" si="272"/>
        <v>1.2033483943596301</v>
      </c>
      <c r="BN376" s="250">
        <f t="shared" si="272"/>
        <v>1.2033483943596301</v>
      </c>
      <c r="BO376" s="250">
        <f t="shared" si="272"/>
        <v>1.2033483943596301</v>
      </c>
      <c r="BP376" s="4"/>
    </row>
    <row r="377" spans="38:68" ht="19.149999999999999" x14ac:dyDescent="0.4">
      <c r="AL377" s="13"/>
      <c r="AM377" s="249"/>
      <c r="AN377" s="253">
        <v>0.6</v>
      </c>
      <c r="AO377" s="251" t="s">
        <v>316</v>
      </c>
      <c r="AP377" s="253">
        <f>$C$91/100</f>
        <v>0.9</v>
      </c>
      <c r="AQ377" s="253">
        <f t="shared" ref="AQ377:BO377" si="273">$AP$377</f>
        <v>0.9</v>
      </c>
      <c r="AR377" s="253">
        <f t="shared" si="273"/>
        <v>0.9</v>
      </c>
      <c r="AS377" s="253">
        <f t="shared" si="273"/>
        <v>0.9</v>
      </c>
      <c r="AT377" s="253">
        <f t="shared" si="273"/>
        <v>0.9</v>
      </c>
      <c r="AU377" s="253">
        <f t="shared" si="273"/>
        <v>0.9</v>
      </c>
      <c r="AV377" s="253">
        <f t="shared" si="273"/>
        <v>0.9</v>
      </c>
      <c r="AW377" s="253">
        <f t="shared" si="273"/>
        <v>0.9</v>
      </c>
      <c r="AX377" s="253">
        <f t="shared" si="273"/>
        <v>0.9</v>
      </c>
      <c r="AY377" s="253">
        <f t="shared" si="273"/>
        <v>0.9</v>
      </c>
      <c r="AZ377" s="253">
        <f t="shared" si="273"/>
        <v>0.9</v>
      </c>
      <c r="BA377" s="253">
        <f t="shared" si="273"/>
        <v>0.9</v>
      </c>
      <c r="BB377" s="253">
        <f t="shared" si="273"/>
        <v>0.9</v>
      </c>
      <c r="BC377" s="253">
        <f t="shared" si="273"/>
        <v>0.9</v>
      </c>
      <c r="BD377" s="253">
        <f t="shared" si="273"/>
        <v>0.9</v>
      </c>
      <c r="BE377" s="253">
        <f t="shared" si="273"/>
        <v>0.9</v>
      </c>
      <c r="BF377" s="253">
        <f t="shared" si="273"/>
        <v>0.9</v>
      </c>
      <c r="BG377" s="253">
        <f t="shared" si="273"/>
        <v>0.9</v>
      </c>
      <c r="BH377" s="253">
        <f t="shared" si="273"/>
        <v>0.9</v>
      </c>
      <c r="BI377" s="253">
        <f t="shared" si="273"/>
        <v>0.9</v>
      </c>
      <c r="BJ377" s="253">
        <f t="shared" si="273"/>
        <v>0.9</v>
      </c>
      <c r="BK377" s="253">
        <f t="shared" si="273"/>
        <v>0.9</v>
      </c>
      <c r="BL377" s="253">
        <f t="shared" si="273"/>
        <v>0.9</v>
      </c>
      <c r="BM377" s="253">
        <f t="shared" si="273"/>
        <v>0.9</v>
      </c>
      <c r="BN377" s="253">
        <f t="shared" si="273"/>
        <v>0.9</v>
      </c>
      <c r="BO377" s="253">
        <f t="shared" si="273"/>
        <v>0.9</v>
      </c>
      <c r="BP377" s="4"/>
    </row>
    <row r="378" spans="38:68" ht="19.149999999999999" x14ac:dyDescent="0.4">
      <c r="AL378" s="13"/>
      <c r="AM378" s="249"/>
      <c r="AN378" s="253">
        <f>1-AN377</f>
        <v>0.4</v>
      </c>
      <c r="AO378" s="251" t="s">
        <v>317</v>
      </c>
      <c r="AP378" s="253">
        <f>1-AP377</f>
        <v>9.9999999999999978E-2</v>
      </c>
      <c r="AQ378" s="253">
        <f t="shared" ref="AQ378:BO378" si="274">$AP$378</f>
        <v>9.9999999999999978E-2</v>
      </c>
      <c r="AR378" s="253">
        <f t="shared" si="274"/>
        <v>9.9999999999999978E-2</v>
      </c>
      <c r="AS378" s="253">
        <f t="shared" si="274"/>
        <v>9.9999999999999978E-2</v>
      </c>
      <c r="AT378" s="253">
        <f t="shared" si="274"/>
        <v>9.9999999999999978E-2</v>
      </c>
      <c r="AU378" s="253">
        <f t="shared" si="274"/>
        <v>9.9999999999999978E-2</v>
      </c>
      <c r="AV378" s="253">
        <f t="shared" si="274"/>
        <v>9.9999999999999978E-2</v>
      </c>
      <c r="AW378" s="253">
        <f t="shared" si="274"/>
        <v>9.9999999999999978E-2</v>
      </c>
      <c r="AX378" s="253">
        <f t="shared" si="274"/>
        <v>9.9999999999999978E-2</v>
      </c>
      <c r="AY378" s="253">
        <f t="shared" si="274"/>
        <v>9.9999999999999978E-2</v>
      </c>
      <c r="AZ378" s="253">
        <f t="shared" si="274"/>
        <v>9.9999999999999978E-2</v>
      </c>
      <c r="BA378" s="253">
        <f t="shared" si="274"/>
        <v>9.9999999999999978E-2</v>
      </c>
      <c r="BB378" s="253">
        <f t="shared" si="274"/>
        <v>9.9999999999999978E-2</v>
      </c>
      <c r="BC378" s="253">
        <f t="shared" si="274"/>
        <v>9.9999999999999978E-2</v>
      </c>
      <c r="BD378" s="253">
        <f t="shared" si="274"/>
        <v>9.9999999999999978E-2</v>
      </c>
      <c r="BE378" s="253">
        <f t="shared" si="274"/>
        <v>9.9999999999999978E-2</v>
      </c>
      <c r="BF378" s="253">
        <f t="shared" si="274"/>
        <v>9.9999999999999978E-2</v>
      </c>
      <c r="BG378" s="253">
        <f t="shared" si="274"/>
        <v>9.9999999999999978E-2</v>
      </c>
      <c r="BH378" s="253">
        <f t="shared" si="274"/>
        <v>9.9999999999999978E-2</v>
      </c>
      <c r="BI378" s="253">
        <f t="shared" si="274"/>
        <v>9.9999999999999978E-2</v>
      </c>
      <c r="BJ378" s="253">
        <f t="shared" si="274"/>
        <v>9.9999999999999978E-2</v>
      </c>
      <c r="BK378" s="253">
        <f t="shared" si="274"/>
        <v>9.9999999999999978E-2</v>
      </c>
      <c r="BL378" s="253">
        <f t="shared" si="274"/>
        <v>9.9999999999999978E-2</v>
      </c>
      <c r="BM378" s="253">
        <f t="shared" si="274"/>
        <v>9.9999999999999978E-2</v>
      </c>
      <c r="BN378" s="253">
        <f t="shared" si="274"/>
        <v>9.9999999999999978E-2</v>
      </c>
      <c r="BO378" s="253">
        <f t="shared" si="274"/>
        <v>9.9999999999999978E-2</v>
      </c>
      <c r="BP378" s="4"/>
    </row>
    <row r="379" spans="38:68" ht="19.149999999999999" x14ac:dyDescent="0.4">
      <c r="AL379" s="13"/>
      <c r="AM379" s="249"/>
      <c r="AN379" s="252">
        <f>AN348</f>
        <v>1.21</v>
      </c>
      <c r="AO379" s="251" t="s">
        <v>318</v>
      </c>
      <c r="AP379" s="252">
        <f t="shared" ref="AP379:AR380" si="275">AP348</f>
        <v>0</v>
      </c>
      <c r="AQ379" s="252">
        <f t="shared" si="275"/>
        <v>2.0557790498584203</v>
      </c>
      <c r="AR379" s="252">
        <f t="shared" si="275"/>
        <v>2.4730841945898501</v>
      </c>
      <c r="AS379" s="252">
        <f>$AN$379</f>
        <v>1.21</v>
      </c>
      <c r="AT379" s="252">
        <f>$AN$379</f>
        <v>1.21</v>
      </c>
      <c r="AU379" s="252">
        <f>AP348</f>
        <v>0</v>
      </c>
      <c r="AV379" s="252">
        <f>AQ348</f>
        <v>2.0557790498584203</v>
      </c>
      <c r="AW379" s="252">
        <f>AR348</f>
        <v>2.4730841945898501</v>
      </c>
      <c r="AX379" s="252">
        <f t="shared" ref="AX379:BO379" si="276">$AN$379</f>
        <v>1.21</v>
      </c>
      <c r="AY379" s="252">
        <f t="shared" si="276"/>
        <v>1.21</v>
      </c>
      <c r="AZ379" s="252">
        <f t="shared" si="276"/>
        <v>1.21</v>
      </c>
      <c r="BA379" s="252">
        <f t="shared" si="276"/>
        <v>1.21</v>
      </c>
      <c r="BB379" s="252">
        <f t="shared" si="276"/>
        <v>1.21</v>
      </c>
      <c r="BC379" s="252">
        <f t="shared" si="276"/>
        <v>1.21</v>
      </c>
      <c r="BD379" s="252">
        <f t="shared" si="276"/>
        <v>1.21</v>
      </c>
      <c r="BE379" s="252">
        <f t="shared" si="276"/>
        <v>1.21</v>
      </c>
      <c r="BF379" s="252">
        <f t="shared" si="276"/>
        <v>1.21</v>
      </c>
      <c r="BG379" s="252">
        <f t="shared" si="276"/>
        <v>1.21</v>
      </c>
      <c r="BH379" s="252">
        <f t="shared" si="276"/>
        <v>1.21</v>
      </c>
      <c r="BI379" s="252">
        <f t="shared" si="276"/>
        <v>1.21</v>
      </c>
      <c r="BJ379" s="252">
        <f t="shared" si="276"/>
        <v>1.21</v>
      </c>
      <c r="BK379" s="252">
        <f t="shared" si="276"/>
        <v>1.21</v>
      </c>
      <c r="BL379" s="252">
        <f t="shared" si="276"/>
        <v>1.21</v>
      </c>
      <c r="BM379" s="252">
        <f t="shared" si="276"/>
        <v>1.21</v>
      </c>
      <c r="BN379" s="252">
        <f t="shared" si="276"/>
        <v>1.21</v>
      </c>
      <c r="BO379" s="252">
        <f t="shared" si="276"/>
        <v>1.21</v>
      </c>
      <c r="BP379" s="4"/>
    </row>
    <row r="380" spans="38:68" ht="19.149999999999999" x14ac:dyDescent="0.4">
      <c r="AL380" s="13"/>
      <c r="AM380" s="249"/>
      <c r="AN380" s="252">
        <f>AN349</f>
        <v>1</v>
      </c>
      <c r="AO380" s="251" t="s">
        <v>319</v>
      </c>
      <c r="AP380" s="252">
        <f t="shared" si="275"/>
        <v>0</v>
      </c>
      <c r="AQ380" s="252">
        <f t="shared" si="275"/>
        <v>2.6246735660005998</v>
      </c>
      <c r="AR380" s="252">
        <f t="shared" si="275"/>
        <v>3.7970433593514796</v>
      </c>
      <c r="AS380" s="252">
        <f>$AN$380</f>
        <v>1</v>
      </c>
      <c r="AT380" s="252">
        <f>$AN$380</f>
        <v>1</v>
      </c>
      <c r="AU380" s="252">
        <f>$AN$380</f>
        <v>1</v>
      </c>
      <c r="AV380" s="252">
        <f>$AN$380</f>
        <v>1</v>
      </c>
      <c r="AW380" s="252">
        <f>$AN$380</f>
        <v>1</v>
      </c>
      <c r="AX380" s="252">
        <f>AP349</f>
        <v>0</v>
      </c>
      <c r="AY380" s="252">
        <f>AQ349</f>
        <v>2.6246735660005998</v>
      </c>
      <c r="AZ380" s="252">
        <f>AR349</f>
        <v>3.7970433593514796</v>
      </c>
      <c r="BA380" s="252">
        <f t="shared" ref="BA380:BO380" si="277">$AN$380</f>
        <v>1</v>
      </c>
      <c r="BB380" s="252">
        <f t="shared" si="277"/>
        <v>1</v>
      </c>
      <c r="BC380" s="252">
        <f t="shared" si="277"/>
        <v>1</v>
      </c>
      <c r="BD380" s="252">
        <f t="shared" si="277"/>
        <v>1</v>
      </c>
      <c r="BE380" s="252">
        <f t="shared" si="277"/>
        <v>1</v>
      </c>
      <c r="BF380" s="252">
        <f t="shared" si="277"/>
        <v>1</v>
      </c>
      <c r="BG380" s="252">
        <f t="shared" si="277"/>
        <v>1</v>
      </c>
      <c r="BH380" s="252">
        <f t="shared" si="277"/>
        <v>1</v>
      </c>
      <c r="BI380" s="252">
        <f t="shared" si="277"/>
        <v>1</v>
      </c>
      <c r="BJ380" s="252">
        <f t="shared" si="277"/>
        <v>1</v>
      </c>
      <c r="BK380" s="252">
        <f t="shared" si="277"/>
        <v>1</v>
      </c>
      <c r="BL380" s="252">
        <f t="shared" si="277"/>
        <v>1</v>
      </c>
      <c r="BM380" s="252">
        <f t="shared" si="277"/>
        <v>1</v>
      </c>
      <c r="BN380" s="252">
        <f t="shared" si="277"/>
        <v>1</v>
      </c>
      <c r="BO380" s="252">
        <f t="shared" si="277"/>
        <v>1</v>
      </c>
      <c r="BP380" s="4"/>
    </row>
    <row r="381" spans="38:68" ht="19.149999999999999" x14ac:dyDescent="0.4">
      <c r="AL381" s="13"/>
      <c r="AM381" s="254"/>
      <c r="AN381" s="255"/>
      <c r="AO381" s="256"/>
      <c r="AP381" s="255"/>
      <c r="AQ381" s="255"/>
      <c r="AR381" s="255"/>
      <c r="AS381" s="255"/>
      <c r="AT381" s="255"/>
      <c r="AU381" s="255"/>
      <c r="AV381" s="255"/>
      <c r="AW381" s="255"/>
      <c r="AX381" s="255"/>
      <c r="AY381" s="255"/>
      <c r="AZ381" s="255"/>
      <c r="BA381" s="255"/>
      <c r="BB381" s="255"/>
      <c r="BC381" s="255"/>
      <c r="BD381" s="255"/>
      <c r="BE381" s="255"/>
      <c r="BF381" s="255"/>
      <c r="BG381" s="255"/>
      <c r="BH381" s="255"/>
      <c r="BI381" s="255"/>
      <c r="BJ381" s="255"/>
      <c r="BK381" s="255"/>
      <c r="BL381" s="255"/>
      <c r="BM381" s="255"/>
      <c r="BN381" s="255"/>
      <c r="BO381" s="255"/>
      <c r="BP381" s="4"/>
    </row>
    <row r="382" spans="38:68" ht="19.149999999999999" x14ac:dyDescent="0.4">
      <c r="AL382" s="13"/>
      <c r="AM382" s="249"/>
      <c r="AN382" s="250">
        <f>5.82*POWER(AN383,-0.38)*AN383/AN384</f>
        <v>0.58625728753119655</v>
      </c>
      <c r="AO382" s="251" t="s">
        <v>320</v>
      </c>
      <c r="AP382" s="250" t="e">
        <f>5.82*POWER(AP383,-0.38)*AP383/AP384</f>
        <v>#DIV/0!</v>
      </c>
      <c r="AQ382" s="250">
        <f t="shared" ref="AQ382:BO382" si="278">5.82*POWER(AQ383,-0.38)*AQ383/AQ384</f>
        <v>0.65768016034236876</v>
      </c>
      <c r="AR382" s="250">
        <f t="shared" si="278"/>
        <v>0.67750713052691591</v>
      </c>
      <c r="AS382" s="250">
        <f t="shared" si="278"/>
        <v>0.58625728753119655</v>
      </c>
      <c r="AT382" s="250">
        <f t="shared" si="278"/>
        <v>0.58625728753119655</v>
      </c>
      <c r="AU382" s="250">
        <f t="shared" si="278"/>
        <v>0.58625728753119655</v>
      </c>
      <c r="AV382" s="250">
        <f t="shared" si="278"/>
        <v>0.58625728753119655</v>
      </c>
      <c r="AW382" s="250">
        <f t="shared" si="278"/>
        <v>0.58625728753119655</v>
      </c>
      <c r="AX382" s="250">
        <f t="shared" si="278"/>
        <v>0.58625728753119655</v>
      </c>
      <c r="AY382" s="250">
        <f t="shared" si="278"/>
        <v>0.58625728753119655</v>
      </c>
      <c r="AZ382" s="250">
        <f t="shared" si="278"/>
        <v>0.58625728753119655</v>
      </c>
      <c r="BA382" s="250">
        <f t="shared" si="278"/>
        <v>0.58625728753119655</v>
      </c>
      <c r="BB382" s="250">
        <f t="shared" si="278"/>
        <v>0.58625728753119655</v>
      </c>
      <c r="BC382" s="250">
        <f t="shared" si="278"/>
        <v>0.58625728753119655</v>
      </c>
      <c r="BD382" s="250">
        <f t="shared" si="278"/>
        <v>0.58625728753119655</v>
      </c>
      <c r="BE382" s="250">
        <f t="shared" si="278"/>
        <v>0.58625728753119655</v>
      </c>
      <c r="BF382" s="250">
        <f t="shared" si="278"/>
        <v>0.58625728753119655</v>
      </c>
      <c r="BG382" s="250">
        <f t="shared" si="278"/>
        <v>0.58625728753119655</v>
      </c>
      <c r="BH382" s="250">
        <f t="shared" si="278"/>
        <v>0.58625728753119655</v>
      </c>
      <c r="BI382" s="250">
        <f t="shared" si="278"/>
        <v>0.58625728753119655</v>
      </c>
      <c r="BJ382" s="250" t="e">
        <f t="shared" si="278"/>
        <v>#DIV/0!</v>
      </c>
      <c r="BK382" s="250">
        <f t="shared" si="278"/>
        <v>0.65768016034236876</v>
      </c>
      <c r="BL382" s="250">
        <f t="shared" si="278"/>
        <v>0.67750713052691591</v>
      </c>
      <c r="BM382" s="250">
        <f t="shared" si="278"/>
        <v>0.58625728753119655</v>
      </c>
      <c r="BN382" s="250">
        <f t="shared" si="278"/>
        <v>0.58625728753119655</v>
      </c>
      <c r="BO382" s="250">
        <f t="shared" si="278"/>
        <v>0.58625728753119655</v>
      </c>
      <c r="BP382" s="4"/>
    </row>
    <row r="383" spans="38:68" ht="19.149999999999999" x14ac:dyDescent="0.4">
      <c r="AL383" s="13"/>
      <c r="AM383" s="249"/>
      <c r="AN383" s="253">
        <f>$AN$354</f>
        <v>420</v>
      </c>
      <c r="AO383" s="251" t="s">
        <v>321</v>
      </c>
      <c r="AP383" s="253">
        <f t="shared" ref="AP383:BO383" si="279">$AN$354</f>
        <v>420</v>
      </c>
      <c r="AQ383" s="253">
        <f t="shared" si="279"/>
        <v>420</v>
      </c>
      <c r="AR383" s="253">
        <f t="shared" si="279"/>
        <v>420</v>
      </c>
      <c r="AS383" s="253">
        <f t="shared" si="279"/>
        <v>420</v>
      </c>
      <c r="AT383" s="253">
        <f t="shared" si="279"/>
        <v>420</v>
      </c>
      <c r="AU383" s="253">
        <f t="shared" si="279"/>
        <v>420</v>
      </c>
      <c r="AV383" s="253">
        <f t="shared" si="279"/>
        <v>420</v>
      </c>
      <c r="AW383" s="253">
        <f t="shared" si="279"/>
        <v>420</v>
      </c>
      <c r="AX383" s="253">
        <f t="shared" si="279"/>
        <v>420</v>
      </c>
      <c r="AY383" s="253">
        <f t="shared" si="279"/>
        <v>420</v>
      </c>
      <c r="AZ383" s="253">
        <f t="shared" si="279"/>
        <v>420</v>
      </c>
      <c r="BA383" s="253">
        <f t="shared" si="279"/>
        <v>420</v>
      </c>
      <c r="BB383" s="253">
        <f t="shared" si="279"/>
        <v>420</v>
      </c>
      <c r="BC383" s="253">
        <f t="shared" si="279"/>
        <v>420</v>
      </c>
      <c r="BD383" s="253">
        <f t="shared" si="279"/>
        <v>420</v>
      </c>
      <c r="BE383" s="253">
        <f t="shared" si="279"/>
        <v>420</v>
      </c>
      <c r="BF383" s="253">
        <f t="shared" si="279"/>
        <v>420</v>
      </c>
      <c r="BG383" s="253">
        <f t="shared" si="279"/>
        <v>420</v>
      </c>
      <c r="BH383" s="253">
        <f t="shared" si="279"/>
        <v>420</v>
      </c>
      <c r="BI383" s="253">
        <f t="shared" si="279"/>
        <v>420</v>
      </c>
      <c r="BJ383" s="253">
        <f t="shared" si="279"/>
        <v>420</v>
      </c>
      <c r="BK383" s="253">
        <f t="shared" si="279"/>
        <v>420</v>
      </c>
      <c r="BL383" s="253">
        <f t="shared" si="279"/>
        <v>420</v>
      </c>
      <c r="BM383" s="253">
        <f t="shared" si="279"/>
        <v>420</v>
      </c>
      <c r="BN383" s="253">
        <f t="shared" si="279"/>
        <v>420</v>
      </c>
      <c r="BO383" s="253">
        <f t="shared" si="279"/>
        <v>420</v>
      </c>
      <c r="BP383" s="4"/>
    </row>
    <row r="384" spans="38:68" ht="19.149999999999999" x14ac:dyDescent="0.4">
      <c r="AL384" s="13"/>
      <c r="AM384" s="249"/>
      <c r="AN384" s="252">
        <f>AN354</f>
        <v>420</v>
      </c>
      <c r="AO384" s="251" t="s">
        <v>322</v>
      </c>
      <c r="AP384" s="252">
        <f>AP354</f>
        <v>0</v>
      </c>
      <c r="AQ384" s="252">
        <f>AQ354</f>
        <v>374.38876160552502</v>
      </c>
      <c r="AR384" s="252">
        <f>AR354</f>
        <v>363.43242700870798</v>
      </c>
      <c r="AS384" s="252">
        <f t="shared" ref="AS384:BI384" si="280">$AN$384</f>
        <v>420</v>
      </c>
      <c r="AT384" s="252">
        <f t="shared" si="280"/>
        <v>420</v>
      </c>
      <c r="AU384" s="252">
        <f t="shared" si="280"/>
        <v>420</v>
      </c>
      <c r="AV384" s="252">
        <f t="shared" si="280"/>
        <v>420</v>
      </c>
      <c r="AW384" s="252">
        <f t="shared" si="280"/>
        <v>420</v>
      </c>
      <c r="AX384" s="252">
        <f t="shared" si="280"/>
        <v>420</v>
      </c>
      <c r="AY384" s="252">
        <f t="shared" si="280"/>
        <v>420</v>
      </c>
      <c r="AZ384" s="252">
        <f t="shared" si="280"/>
        <v>420</v>
      </c>
      <c r="BA384" s="252">
        <f t="shared" si="280"/>
        <v>420</v>
      </c>
      <c r="BB384" s="252">
        <f t="shared" si="280"/>
        <v>420</v>
      </c>
      <c r="BC384" s="252">
        <f t="shared" si="280"/>
        <v>420</v>
      </c>
      <c r="BD384" s="252">
        <f t="shared" si="280"/>
        <v>420</v>
      </c>
      <c r="BE384" s="252">
        <f t="shared" si="280"/>
        <v>420</v>
      </c>
      <c r="BF384" s="252">
        <f t="shared" si="280"/>
        <v>420</v>
      </c>
      <c r="BG384" s="252">
        <f t="shared" si="280"/>
        <v>420</v>
      </c>
      <c r="BH384" s="252">
        <f t="shared" si="280"/>
        <v>420</v>
      </c>
      <c r="BI384" s="252">
        <f t="shared" si="280"/>
        <v>420</v>
      </c>
      <c r="BJ384" s="252">
        <f>AP354</f>
        <v>0</v>
      </c>
      <c r="BK384" s="252">
        <f>AQ354</f>
        <v>374.38876160552502</v>
      </c>
      <c r="BL384" s="252">
        <f>AR354</f>
        <v>363.43242700870798</v>
      </c>
      <c r="BM384" s="252">
        <f>$AN$384</f>
        <v>420</v>
      </c>
      <c r="BN384" s="252">
        <f>$AN$384</f>
        <v>420</v>
      </c>
      <c r="BO384" s="252">
        <f>$AN$384</f>
        <v>420</v>
      </c>
      <c r="BP384" s="4"/>
    </row>
    <row r="385" spans="38:68" ht="19.149999999999999" x14ac:dyDescent="0.4">
      <c r="AL385" s="13"/>
      <c r="AM385" s="257"/>
      <c r="AN385" s="255"/>
      <c r="AO385" s="258"/>
      <c r="AP385" s="255"/>
      <c r="AQ385" s="255"/>
      <c r="AR385" s="255"/>
      <c r="AS385" s="255"/>
      <c r="AT385" s="255"/>
      <c r="AU385" s="255"/>
      <c r="AV385" s="255"/>
      <c r="AW385" s="255"/>
      <c r="AX385" s="255"/>
      <c r="AY385" s="255"/>
      <c r="AZ385" s="255"/>
      <c r="BA385" s="255"/>
      <c r="BB385" s="255"/>
      <c r="BC385" s="255"/>
      <c r="BD385" s="255"/>
      <c r="BE385" s="255"/>
      <c r="BF385" s="255"/>
      <c r="BG385" s="255"/>
      <c r="BH385" s="255"/>
      <c r="BI385" s="255"/>
      <c r="BJ385" s="255"/>
      <c r="BK385" s="255"/>
      <c r="BL385" s="255"/>
      <c r="BM385" s="255"/>
      <c r="BN385" s="255"/>
      <c r="BO385" s="255"/>
      <c r="BP385" s="4"/>
    </row>
    <row r="386" spans="38:68" ht="19.149999999999999" x14ac:dyDescent="0.4">
      <c r="AL386" s="13"/>
      <c r="AM386" s="249"/>
      <c r="AN386" s="250">
        <f>100*AN392/AN393*(AN397*(AN389-AN390)*AN388/(100-AN395)+AN396*(AN391-AN390)*AN387/(100-AN394))</f>
        <v>0.67121016004737144</v>
      </c>
      <c r="AO386" s="251" t="s">
        <v>323</v>
      </c>
      <c r="AP386" s="250" t="e">
        <f>100*AP392/AP393*(AP397*(AP389-AP390)*AP388/(100-AP395)+AP396*(AP391-AP390)*AP387/(100-AP394))</f>
        <v>#DIV/0!</v>
      </c>
      <c r="AQ386" s="250" t="e">
        <f t="shared" ref="AQ386:BO386" si="281">100*AQ392/AQ393*(AQ397*(AQ389-AQ390)*AQ388/(100-AQ395)+AQ396*(AQ391-AQ390)*AQ387/(100-AQ394))</f>
        <v>#DIV/0!</v>
      </c>
      <c r="AR386" s="250" t="e">
        <f t="shared" si="281"/>
        <v>#DIV/0!</v>
      </c>
      <c r="AS386" s="250" t="e">
        <f t="shared" si="281"/>
        <v>#DIV/0!</v>
      </c>
      <c r="AT386" s="250">
        <f t="shared" si="281"/>
        <v>0</v>
      </c>
      <c r="AU386" s="250">
        <f t="shared" si="281"/>
        <v>0.30646538851971211</v>
      </c>
      <c r="AV386" s="250">
        <f t="shared" si="281"/>
        <v>0.30996648560487827</v>
      </c>
      <c r="AW386" s="250">
        <f t="shared" si="281"/>
        <v>0.31069519935884771</v>
      </c>
      <c r="AX386" s="250">
        <f t="shared" si="281"/>
        <v>0.30711182455701502</v>
      </c>
      <c r="AY386" s="250">
        <f t="shared" si="281"/>
        <v>0.31083863954463448</v>
      </c>
      <c r="AZ386" s="250">
        <f t="shared" si="281"/>
        <v>0.31256900858668796</v>
      </c>
      <c r="BA386" s="250">
        <f t="shared" si="281"/>
        <v>0.10941595121542437</v>
      </c>
      <c r="BB386" s="250">
        <f t="shared" si="281"/>
        <v>0.31058954429615337</v>
      </c>
      <c r="BC386" s="250">
        <f t="shared" si="281"/>
        <v>0.31058954429615337</v>
      </c>
      <c r="BD386" s="250">
        <f t="shared" si="281"/>
        <v>0.34266623187683676</v>
      </c>
      <c r="BE386" s="250">
        <f t="shared" si="281"/>
        <v>0.3003882612720154</v>
      </c>
      <c r="BF386" s="250">
        <f t="shared" si="281"/>
        <v>0.30373274727840144</v>
      </c>
      <c r="BG386" s="250">
        <f t="shared" si="281"/>
        <v>0.30850843816083545</v>
      </c>
      <c r="BH386" s="250">
        <f t="shared" si="281"/>
        <v>0.30850843816083545</v>
      </c>
      <c r="BI386" s="250">
        <f t="shared" si="281"/>
        <v>0.30850843816083545</v>
      </c>
      <c r="BJ386" s="250">
        <f t="shared" si="281"/>
        <v>0.30850843816083545</v>
      </c>
      <c r="BK386" s="250">
        <f t="shared" si="281"/>
        <v>0.30850843816083545</v>
      </c>
      <c r="BL386" s="250">
        <f t="shared" si="281"/>
        <v>0.30850843816083545</v>
      </c>
      <c r="BM386" s="250">
        <f t="shared" si="281"/>
        <v>0.16493469322940982</v>
      </c>
      <c r="BN386" s="250">
        <f t="shared" si="281"/>
        <v>0.30850843816083545</v>
      </c>
      <c r="BO386" s="250">
        <f t="shared" si="281"/>
        <v>0.30850843816083545</v>
      </c>
      <c r="BP386" s="4"/>
    </row>
    <row r="387" spans="38:68" ht="19.149999999999999" x14ac:dyDescent="0.4">
      <c r="AL387" s="13"/>
      <c r="AM387" s="249"/>
      <c r="AN387" s="253">
        <v>0.72</v>
      </c>
      <c r="AO387" s="251" t="s">
        <v>324</v>
      </c>
      <c r="AP387" s="253">
        <v>0.72</v>
      </c>
      <c r="AQ387" s="253">
        <v>0.72</v>
      </c>
      <c r="AR387" s="253">
        <v>0.72</v>
      </c>
      <c r="AS387" s="253">
        <v>0.72</v>
      </c>
      <c r="AT387" s="253">
        <v>0.72</v>
      </c>
      <c r="AU387" s="253">
        <v>0.72</v>
      </c>
      <c r="AV387" s="253">
        <v>0.72</v>
      </c>
      <c r="AW387" s="253">
        <v>0.72</v>
      </c>
      <c r="AX387" s="253">
        <v>0.72</v>
      </c>
      <c r="AY387" s="253">
        <v>0.72</v>
      </c>
      <c r="AZ387" s="253">
        <v>0.72</v>
      </c>
      <c r="BA387" s="253">
        <v>0.72</v>
      </c>
      <c r="BB387" s="253">
        <v>0.72</v>
      </c>
      <c r="BC387" s="253">
        <v>0.72</v>
      </c>
      <c r="BD387" s="253">
        <v>0.72</v>
      </c>
      <c r="BE387" s="253">
        <v>0.72</v>
      </c>
      <c r="BF387" s="253">
        <v>0.72</v>
      </c>
      <c r="BG387" s="253">
        <v>0.72</v>
      </c>
      <c r="BH387" s="253">
        <v>0.72</v>
      </c>
      <c r="BI387" s="253">
        <v>0.72</v>
      </c>
      <c r="BJ387" s="253">
        <v>0.72</v>
      </c>
      <c r="BK387" s="253">
        <v>0.72</v>
      </c>
      <c r="BL387" s="253">
        <v>0.72</v>
      </c>
      <c r="BM387" s="253">
        <v>0.72</v>
      </c>
      <c r="BN387" s="253">
        <v>0.72</v>
      </c>
      <c r="BO387" s="253">
        <v>0.72</v>
      </c>
      <c r="BP387" s="4"/>
    </row>
    <row r="388" spans="38:68" ht="19.149999999999999" x14ac:dyDescent="0.4">
      <c r="AL388" s="13"/>
      <c r="AM388" s="249"/>
      <c r="AN388" s="253">
        <v>0.84</v>
      </c>
      <c r="AO388" s="251" t="s">
        <v>325</v>
      </c>
      <c r="AP388" s="253">
        <v>0.84</v>
      </c>
      <c r="AQ388" s="253">
        <v>0.84</v>
      </c>
      <c r="AR388" s="253">
        <v>0.84</v>
      </c>
      <c r="AS388" s="253">
        <v>0.84</v>
      </c>
      <c r="AT388" s="253">
        <v>0.84</v>
      </c>
      <c r="AU388" s="253">
        <v>0.84</v>
      </c>
      <c r="AV388" s="253">
        <v>0.84</v>
      </c>
      <c r="AW388" s="253">
        <v>0.84</v>
      </c>
      <c r="AX388" s="253">
        <v>0.84</v>
      </c>
      <c r="AY388" s="253">
        <v>0.84</v>
      </c>
      <c r="AZ388" s="253">
        <v>0.84</v>
      </c>
      <c r="BA388" s="253">
        <v>0.84</v>
      </c>
      <c r="BB388" s="253">
        <v>0.84</v>
      </c>
      <c r="BC388" s="253">
        <v>0.84</v>
      </c>
      <c r="BD388" s="253">
        <v>0.84</v>
      </c>
      <c r="BE388" s="253">
        <v>0.84</v>
      </c>
      <c r="BF388" s="253">
        <v>0.84</v>
      </c>
      <c r="BG388" s="253">
        <v>0.84</v>
      </c>
      <c r="BH388" s="253">
        <v>0.84</v>
      </c>
      <c r="BI388" s="253">
        <v>0.84</v>
      </c>
      <c r="BJ388" s="253">
        <v>0.84</v>
      </c>
      <c r="BK388" s="253">
        <v>0.84</v>
      </c>
      <c r="BL388" s="253">
        <v>0.84</v>
      </c>
      <c r="BM388" s="253">
        <v>0.84</v>
      </c>
      <c r="BN388" s="253">
        <v>0.84</v>
      </c>
      <c r="BO388" s="253">
        <v>0.84</v>
      </c>
      <c r="BP388" s="4"/>
    </row>
    <row r="389" spans="38:68" ht="19.149999999999999" x14ac:dyDescent="0.4">
      <c r="AL389" s="13"/>
      <c r="AM389" s="249"/>
      <c r="AN389" s="252">
        <f>AN355</f>
        <v>800</v>
      </c>
      <c r="AO389" s="251" t="s">
        <v>326</v>
      </c>
      <c r="AP389" s="252">
        <f>AP355</f>
        <v>0</v>
      </c>
      <c r="AQ389" s="252">
        <f>AQ355</f>
        <v>800</v>
      </c>
      <c r="AR389" s="252">
        <f>AR355</f>
        <v>800</v>
      </c>
      <c r="AS389" s="252">
        <f t="shared" ref="AS389:BL389" si="282">$AN$389</f>
        <v>800</v>
      </c>
      <c r="AT389" s="252">
        <f t="shared" si="282"/>
        <v>800</v>
      </c>
      <c r="AU389" s="252">
        <f t="shared" si="282"/>
        <v>800</v>
      </c>
      <c r="AV389" s="252">
        <f t="shared" si="282"/>
        <v>800</v>
      </c>
      <c r="AW389" s="252">
        <f t="shared" si="282"/>
        <v>800</v>
      </c>
      <c r="AX389" s="252">
        <f t="shared" si="282"/>
        <v>800</v>
      </c>
      <c r="AY389" s="252">
        <f t="shared" si="282"/>
        <v>800</v>
      </c>
      <c r="AZ389" s="252">
        <f t="shared" si="282"/>
        <v>800</v>
      </c>
      <c r="BA389" s="252">
        <f t="shared" si="282"/>
        <v>800</v>
      </c>
      <c r="BB389" s="252">
        <f t="shared" si="282"/>
        <v>800</v>
      </c>
      <c r="BC389" s="252">
        <f t="shared" si="282"/>
        <v>800</v>
      </c>
      <c r="BD389" s="252">
        <f t="shared" si="282"/>
        <v>800</v>
      </c>
      <c r="BE389" s="252">
        <f t="shared" si="282"/>
        <v>800</v>
      </c>
      <c r="BF389" s="252">
        <f t="shared" si="282"/>
        <v>800</v>
      </c>
      <c r="BG389" s="252">
        <f t="shared" si="282"/>
        <v>800</v>
      </c>
      <c r="BH389" s="252">
        <f t="shared" si="282"/>
        <v>800</v>
      </c>
      <c r="BI389" s="252">
        <f t="shared" si="282"/>
        <v>800</v>
      </c>
      <c r="BJ389" s="252">
        <f t="shared" si="282"/>
        <v>800</v>
      </c>
      <c r="BK389" s="252">
        <f t="shared" si="282"/>
        <v>800</v>
      </c>
      <c r="BL389" s="252">
        <f t="shared" si="282"/>
        <v>800</v>
      </c>
      <c r="BM389" s="252">
        <f>AP355</f>
        <v>0</v>
      </c>
      <c r="BN389" s="252">
        <f>AQ355</f>
        <v>800</v>
      </c>
      <c r="BO389" s="252">
        <f>AR355</f>
        <v>800</v>
      </c>
      <c r="BP389" s="4"/>
    </row>
    <row r="390" spans="38:68" ht="19.149999999999999" x14ac:dyDescent="0.4">
      <c r="AL390" s="13"/>
      <c r="AM390" s="249"/>
      <c r="AN390" s="250">
        <f>AN368</f>
        <v>21.8</v>
      </c>
      <c r="AO390" s="251" t="s">
        <v>327</v>
      </c>
      <c r="AP390" s="250">
        <f>AP368</f>
        <v>0</v>
      </c>
      <c r="AQ390" s="250">
        <f t="shared" ref="AQ390:BO390" si="283">AQ368</f>
        <v>26.982414814260999</v>
      </c>
      <c r="AR390" s="250">
        <f t="shared" si="283"/>
        <v>24.8479152752858</v>
      </c>
      <c r="AS390" s="250">
        <f t="shared" si="283"/>
        <v>21.8</v>
      </c>
      <c r="AT390" s="250">
        <f t="shared" si="283"/>
        <v>21.8</v>
      </c>
      <c r="AU390" s="250">
        <f t="shared" si="283"/>
        <v>21.8</v>
      </c>
      <c r="AV390" s="250">
        <f t="shared" si="283"/>
        <v>21.8</v>
      </c>
      <c r="AW390" s="250">
        <f t="shared" si="283"/>
        <v>21.8</v>
      </c>
      <c r="AX390" s="250">
        <f t="shared" si="283"/>
        <v>21.8</v>
      </c>
      <c r="AY390" s="250">
        <f t="shared" si="283"/>
        <v>21.8</v>
      </c>
      <c r="AZ390" s="250">
        <f t="shared" si="283"/>
        <v>21.8</v>
      </c>
      <c r="BA390" s="250">
        <f t="shared" si="283"/>
        <v>21.8</v>
      </c>
      <c r="BB390" s="250">
        <f t="shared" si="283"/>
        <v>21.8</v>
      </c>
      <c r="BC390" s="250">
        <f t="shared" si="283"/>
        <v>21.8</v>
      </c>
      <c r="BD390" s="250">
        <f t="shared" si="283"/>
        <v>0</v>
      </c>
      <c r="BE390" s="250">
        <f t="shared" si="283"/>
        <v>26.982414814260999</v>
      </c>
      <c r="BF390" s="250">
        <f t="shared" si="283"/>
        <v>24.8479152752858</v>
      </c>
      <c r="BG390" s="250">
        <f t="shared" si="283"/>
        <v>21.8</v>
      </c>
      <c r="BH390" s="250">
        <f t="shared" si="283"/>
        <v>21.8</v>
      </c>
      <c r="BI390" s="250">
        <f t="shared" si="283"/>
        <v>21.8</v>
      </c>
      <c r="BJ390" s="250">
        <f t="shared" si="283"/>
        <v>21.8</v>
      </c>
      <c r="BK390" s="250">
        <f t="shared" si="283"/>
        <v>21.8</v>
      </c>
      <c r="BL390" s="250">
        <f t="shared" si="283"/>
        <v>21.8</v>
      </c>
      <c r="BM390" s="250">
        <f t="shared" si="283"/>
        <v>21.8</v>
      </c>
      <c r="BN390" s="250">
        <f t="shared" si="283"/>
        <v>21.8</v>
      </c>
      <c r="BO390" s="250">
        <f t="shared" si="283"/>
        <v>21.8</v>
      </c>
      <c r="BP390" s="4"/>
    </row>
    <row r="391" spans="38:68" ht="19.149999999999999" x14ac:dyDescent="0.4">
      <c r="AL391" s="13"/>
      <c r="AM391" s="249"/>
      <c r="AN391" s="250">
        <f>AN367</f>
        <v>143.5</v>
      </c>
      <c r="AO391" s="251" t="s">
        <v>307</v>
      </c>
      <c r="AP391" s="250">
        <f>AP367</f>
        <v>0</v>
      </c>
      <c r="AQ391" s="250">
        <f t="shared" ref="AQ391:BO391" si="284">AQ367</f>
        <v>145</v>
      </c>
      <c r="AR391" s="250">
        <f t="shared" si="284"/>
        <v>145</v>
      </c>
      <c r="AS391" s="250">
        <f t="shared" si="284"/>
        <v>143.5</v>
      </c>
      <c r="AT391" s="250">
        <f t="shared" si="284"/>
        <v>143.5</v>
      </c>
      <c r="AU391" s="250">
        <f t="shared" si="284"/>
        <v>143.5</v>
      </c>
      <c r="AV391" s="250">
        <f t="shared" si="284"/>
        <v>143.5</v>
      </c>
      <c r="AW391" s="250">
        <f t="shared" si="284"/>
        <v>143.5</v>
      </c>
      <c r="AX391" s="250">
        <f t="shared" si="284"/>
        <v>143.5</v>
      </c>
      <c r="AY391" s="250">
        <f t="shared" si="284"/>
        <v>143.5</v>
      </c>
      <c r="AZ391" s="250">
        <f t="shared" si="284"/>
        <v>143.5</v>
      </c>
      <c r="BA391" s="250">
        <f t="shared" si="284"/>
        <v>0</v>
      </c>
      <c r="BB391" s="250">
        <f t="shared" si="284"/>
        <v>145</v>
      </c>
      <c r="BC391" s="250">
        <f t="shared" si="284"/>
        <v>145</v>
      </c>
      <c r="BD391" s="250">
        <f t="shared" si="284"/>
        <v>143.5</v>
      </c>
      <c r="BE391" s="250">
        <f t="shared" si="284"/>
        <v>143.5</v>
      </c>
      <c r="BF391" s="250">
        <f t="shared" si="284"/>
        <v>143.5</v>
      </c>
      <c r="BG391" s="250">
        <f t="shared" si="284"/>
        <v>143.5</v>
      </c>
      <c r="BH391" s="250">
        <f t="shared" si="284"/>
        <v>143.5</v>
      </c>
      <c r="BI391" s="250">
        <f t="shared" si="284"/>
        <v>143.5</v>
      </c>
      <c r="BJ391" s="250">
        <f t="shared" si="284"/>
        <v>143.5</v>
      </c>
      <c r="BK391" s="250">
        <f t="shared" si="284"/>
        <v>143.5</v>
      </c>
      <c r="BL391" s="250">
        <f t="shared" si="284"/>
        <v>143.5</v>
      </c>
      <c r="BM391" s="250">
        <f t="shared" si="284"/>
        <v>143.5</v>
      </c>
      <c r="BN391" s="250">
        <f t="shared" si="284"/>
        <v>143.5</v>
      </c>
      <c r="BO391" s="250">
        <f t="shared" si="284"/>
        <v>143.5</v>
      </c>
      <c r="BP391" s="4"/>
    </row>
    <row r="392" spans="38:68" ht="19.149999999999999" x14ac:dyDescent="0.4">
      <c r="AL392" s="13"/>
      <c r="AM392" s="249"/>
      <c r="AN392" s="250">
        <f>AN374</f>
        <v>33.270000000000003</v>
      </c>
      <c r="AO392" s="251" t="s">
        <v>328</v>
      </c>
      <c r="AP392" s="250">
        <f>AP374</f>
        <v>0</v>
      </c>
      <c r="AQ392" s="250">
        <f t="shared" ref="AQ392:AW393" si="285">AQ374</f>
        <v>0</v>
      </c>
      <c r="AR392" s="250">
        <f t="shared" si="285"/>
        <v>0</v>
      </c>
      <c r="AS392" s="250">
        <f t="shared" si="285"/>
        <v>33.270000000000003</v>
      </c>
      <c r="AT392" s="250">
        <f t="shared" si="285"/>
        <v>0</v>
      </c>
      <c r="AU392" s="250">
        <f t="shared" si="285"/>
        <v>33.270000000000003</v>
      </c>
      <c r="AV392" s="250">
        <f t="shared" si="285"/>
        <v>33.270000000000003</v>
      </c>
      <c r="AW392" s="250">
        <f t="shared" si="285"/>
        <v>33.270000000000003</v>
      </c>
      <c r="AX392" s="250">
        <f>AX374</f>
        <v>33.270000000000003</v>
      </c>
      <c r="AY392" s="250">
        <f t="shared" ref="AY392:BO393" si="286">AY374</f>
        <v>33.270000000000003</v>
      </c>
      <c r="AZ392" s="250">
        <f t="shared" si="286"/>
        <v>33.270000000000003</v>
      </c>
      <c r="BA392" s="250">
        <f t="shared" si="286"/>
        <v>33.270000000000003</v>
      </c>
      <c r="BB392" s="250">
        <f t="shared" si="286"/>
        <v>33.270000000000003</v>
      </c>
      <c r="BC392" s="250">
        <f t="shared" si="286"/>
        <v>33.270000000000003</v>
      </c>
      <c r="BD392" s="250">
        <f t="shared" si="286"/>
        <v>33.270000000000003</v>
      </c>
      <c r="BE392" s="250">
        <f t="shared" si="286"/>
        <v>33.270000000000003</v>
      </c>
      <c r="BF392" s="250">
        <f t="shared" si="286"/>
        <v>33.270000000000003</v>
      </c>
      <c r="BG392" s="250">
        <f t="shared" si="286"/>
        <v>33.270000000000003</v>
      </c>
      <c r="BH392" s="250">
        <f t="shared" si="286"/>
        <v>33.270000000000003</v>
      </c>
      <c r="BI392" s="250">
        <f t="shared" si="286"/>
        <v>33.270000000000003</v>
      </c>
      <c r="BJ392" s="250">
        <f t="shared" si="286"/>
        <v>33.270000000000003</v>
      </c>
      <c r="BK392" s="250">
        <f t="shared" si="286"/>
        <v>33.270000000000003</v>
      </c>
      <c r="BL392" s="250">
        <f t="shared" si="286"/>
        <v>33.270000000000003</v>
      </c>
      <c r="BM392" s="250">
        <f t="shared" si="286"/>
        <v>33.270000000000003</v>
      </c>
      <c r="BN392" s="250">
        <f t="shared" si="286"/>
        <v>33.270000000000003</v>
      </c>
      <c r="BO392" s="250">
        <f t="shared" si="286"/>
        <v>33.270000000000003</v>
      </c>
      <c r="BP392" s="4"/>
    </row>
    <row r="393" spans="38:68" ht="19.149999999999999" x14ac:dyDescent="0.4">
      <c r="AL393" s="13"/>
      <c r="AM393" s="249"/>
      <c r="AN393" s="250">
        <f>AN375</f>
        <v>15729.388919999999</v>
      </c>
      <c r="AO393" s="251" t="s">
        <v>329</v>
      </c>
      <c r="AP393" s="250">
        <f>AP375</f>
        <v>0</v>
      </c>
      <c r="AQ393" s="250">
        <f t="shared" si="285"/>
        <v>0</v>
      </c>
      <c r="AR393" s="250">
        <f t="shared" si="285"/>
        <v>0</v>
      </c>
      <c r="AS393" s="250">
        <f t="shared" si="285"/>
        <v>0</v>
      </c>
      <c r="AT393" s="250">
        <f t="shared" si="285"/>
        <v>15729.388919999999</v>
      </c>
      <c r="AU393" s="250">
        <f t="shared" si="285"/>
        <v>15729.388919999999</v>
      </c>
      <c r="AV393" s="250">
        <f t="shared" si="285"/>
        <v>15729.388919999999</v>
      </c>
      <c r="AW393" s="250">
        <f t="shared" si="285"/>
        <v>15729.388919999999</v>
      </c>
      <c r="AX393" s="250">
        <f>AX375</f>
        <v>15729.388919999999</v>
      </c>
      <c r="AY393" s="250">
        <f t="shared" si="286"/>
        <v>15729.388919999999</v>
      </c>
      <c r="AZ393" s="250">
        <f t="shared" si="286"/>
        <v>15729.388919999999</v>
      </c>
      <c r="BA393" s="250">
        <f t="shared" si="286"/>
        <v>15729.388919999999</v>
      </c>
      <c r="BB393" s="250">
        <f t="shared" si="286"/>
        <v>15729.388919999999</v>
      </c>
      <c r="BC393" s="250">
        <f t="shared" si="286"/>
        <v>15729.388919999999</v>
      </c>
      <c r="BD393" s="250">
        <f t="shared" si="286"/>
        <v>15729.388919999999</v>
      </c>
      <c r="BE393" s="250">
        <f t="shared" si="286"/>
        <v>15729.388919999999</v>
      </c>
      <c r="BF393" s="250">
        <f t="shared" si="286"/>
        <v>15729.388919999999</v>
      </c>
      <c r="BG393" s="250">
        <f t="shared" si="286"/>
        <v>15729.388919999999</v>
      </c>
      <c r="BH393" s="250">
        <f t="shared" si="286"/>
        <v>15729.388919999999</v>
      </c>
      <c r="BI393" s="250">
        <f t="shared" si="286"/>
        <v>15729.388919999999</v>
      </c>
      <c r="BJ393" s="250">
        <f t="shared" si="286"/>
        <v>15729.388919999999</v>
      </c>
      <c r="BK393" s="250">
        <f t="shared" si="286"/>
        <v>15729.388919999999</v>
      </c>
      <c r="BL393" s="250">
        <f t="shared" si="286"/>
        <v>15729.388919999999</v>
      </c>
      <c r="BM393" s="250">
        <f t="shared" si="286"/>
        <v>15729.388919999999</v>
      </c>
      <c r="BN393" s="250">
        <f t="shared" si="286"/>
        <v>15729.388919999999</v>
      </c>
      <c r="BO393" s="250">
        <f t="shared" si="286"/>
        <v>15729.388919999999</v>
      </c>
      <c r="BP393" s="4"/>
    </row>
    <row r="394" spans="38:68" ht="19.149999999999999" x14ac:dyDescent="0.4">
      <c r="AL394" s="13"/>
      <c r="AM394" s="249"/>
      <c r="AN394" s="250">
        <f>AN379</f>
        <v>1.21</v>
      </c>
      <c r="AO394" s="251" t="s">
        <v>318</v>
      </c>
      <c r="AP394" s="250">
        <f>AP379</f>
        <v>0</v>
      </c>
      <c r="AQ394" s="250">
        <f t="shared" ref="AQ394:AW395" si="287">AQ379</f>
        <v>2.0557790498584203</v>
      </c>
      <c r="AR394" s="250">
        <f t="shared" si="287"/>
        <v>2.4730841945898501</v>
      </c>
      <c r="AS394" s="250">
        <f t="shared" si="287"/>
        <v>1.21</v>
      </c>
      <c r="AT394" s="250">
        <f t="shared" si="287"/>
        <v>1.21</v>
      </c>
      <c r="AU394" s="250">
        <f t="shared" si="287"/>
        <v>0</v>
      </c>
      <c r="AV394" s="250">
        <f t="shared" si="287"/>
        <v>2.0557790498584203</v>
      </c>
      <c r="AW394" s="250">
        <f t="shared" si="287"/>
        <v>2.4730841945898501</v>
      </c>
      <c r="AX394" s="250">
        <f>AX379</f>
        <v>1.21</v>
      </c>
      <c r="AY394" s="250">
        <f t="shared" ref="AY394:BO395" si="288">AY379</f>
        <v>1.21</v>
      </c>
      <c r="AZ394" s="250">
        <f t="shared" si="288"/>
        <v>1.21</v>
      </c>
      <c r="BA394" s="250">
        <f t="shared" si="288"/>
        <v>1.21</v>
      </c>
      <c r="BB394" s="250">
        <f t="shared" si="288"/>
        <v>1.21</v>
      </c>
      <c r="BC394" s="250">
        <f t="shared" si="288"/>
        <v>1.21</v>
      </c>
      <c r="BD394" s="250">
        <f t="shared" si="288"/>
        <v>1.21</v>
      </c>
      <c r="BE394" s="250">
        <f t="shared" si="288"/>
        <v>1.21</v>
      </c>
      <c r="BF394" s="250">
        <f t="shared" si="288"/>
        <v>1.21</v>
      </c>
      <c r="BG394" s="250">
        <f t="shared" si="288"/>
        <v>1.21</v>
      </c>
      <c r="BH394" s="250">
        <f t="shared" si="288"/>
        <v>1.21</v>
      </c>
      <c r="BI394" s="250">
        <f t="shared" si="288"/>
        <v>1.21</v>
      </c>
      <c r="BJ394" s="250">
        <f t="shared" si="288"/>
        <v>1.21</v>
      </c>
      <c r="BK394" s="250">
        <f t="shared" si="288"/>
        <v>1.21</v>
      </c>
      <c r="BL394" s="250">
        <f t="shared" si="288"/>
        <v>1.21</v>
      </c>
      <c r="BM394" s="250">
        <f t="shared" si="288"/>
        <v>1.21</v>
      </c>
      <c r="BN394" s="250">
        <f t="shared" si="288"/>
        <v>1.21</v>
      </c>
      <c r="BO394" s="250">
        <f t="shared" si="288"/>
        <v>1.21</v>
      </c>
      <c r="BP394" s="4"/>
    </row>
    <row r="395" spans="38:68" ht="19.149999999999999" x14ac:dyDescent="0.4">
      <c r="AL395" s="13"/>
      <c r="AM395" s="249"/>
      <c r="AN395" s="250">
        <f>AN380</f>
        <v>1</v>
      </c>
      <c r="AO395" s="251" t="s">
        <v>319</v>
      </c>
      <c r="AP395" s="250">
        <f>AP380</f>
        <v>0</v>
      </c>
      <c r="AQ395" s="250">
        <f t="shared" si="287"/>
        <v>2.6246735660005998</v>
      </c>
      <c r="AR395" s="250">
        <f t="shared" si="287"/>
        <v>3.7970433593514796</v>
      </c>
      <c r="AS395" s="250">
        <f t="shared" si="287"/>
        <v>1</v>
      </c>
      <c r="AT395" s="250">
        <f t="shared" si="287"/>
        <v>1</v>
      </c>
      <c r="AU395" s="250">
        <f t="shared" si="287"/>
        <v>1</v>
      </c>
      <c r="AV395" s="250">
        <f t="shared" si="287"/>
        <v>1</v>
      </c>
      <c r="AW395" s="250">
        <f t="shared" si="287"/>
        <v>1</v>
      </c>
      <c r="AX395" s="250">
        <f>AX380</f>
        <v>0</v>
      </c>
      <c r="AY395" s="250">
        <f t="shared" si="288"/>
        <v>2.6246735660005998</v>
      </c>
      <c r="AZ395" s="250">
        <f t="shared" si="288"/>
        <v>3.7970433593514796</v>
      </c>
      <c r="BA395" s="250">
        <f t="shared" si="288"/>
        <v>1</v>
      </c>
      <c r="BB395" s="250">
        <f t="shared" si="288"/>
        <v>1</v>
      </c>
      <c r="BC395" s="250">
        <f t="shared" si="288"/>
        <v>1</v>
      </c>
      <c r="BD395" s="250">
        <f t="shared" si="288"/>
        <v>1</v>
      </c>
      <c r="BE395" s="250">
        <f t="shared" si="288"/>
        <v>1</v>
      </c>
      <c r="BF395" s="250">
        <f t="shared" si="288"/>
        <v>1</v>
      </c>
      <c r="BG395" s="250">
        <f t="shared" si="288"/>
        <v>1</v>
      </c>
      <c r="BH395" s="250">
        <f t="shared" si="288"/>
        <v>1</v>
      </c>
      <c r="BI395" s="250">
        <f t="shared" si="288"/>
        <v>1</v>
      </c>
      <c r="BJ395" s="250">
        <f t="shared" si="288"/>
        <v>1</v>
      </c>
      <c r="BK395" s="250">
        <f t="shared" si="288"/>
        <v>1</v>
      </c>
      <c r="BL395" s="250">
        <f t="shared" si="288"/>
        <v>1</v>
      </c>
      <c r="BM395" s="250">
        <f t="shared" si="288"/>
        <v>1</v>
      </c>
      <c r="BN395" s="250">
        <f t="shared" si="288"/>
        <v>1</v>
      </c>
      <c r="BO395" s="250">
        <f t="shared" si="288"/>
        <v>1</v>
      </c>
      <c r="BP395" s="4"/>
    </row>
    <row r="396" spans="38:68" ht="19.149999999999999" x14ac:dyDescent="0.4">
      <c r="AL396" s="13"/>
      <c r="AM396" s="249"/>
      <c r="AN396" s="250">
        <f>AN377</f>
        <v>0.6</v>
      </c>
      <c r="AO396" s="251" t="s">
        <v>316</v>
      </c>
      <c r="AP396" s="250">
        <f>AP377</f>
        <v>0.9</v>
      </c>
      <c r="AQ396" s="250">
        <f t="shared" ref="AQ396:AW397" si="289">AQ377</f>
        <v>0.9</v>
      </c>
      <c r="AR396" s="250">
        <f t="shared" si="289"/>
        <v>0.9</v>
      </c>
      <c r="AS396" s="250">
        <f t="shared" si="289"/>
        <v>0.9</v>
      </c>
      <c r="AT396" s="250">
        <f t="shared" si="289"/>
        <v>0.9</v>
      </c>
      <c r="AU396" s="250">
        <f t="shared" si="289"/>
        <v>0.9</v>
      </c>
      <c r="AV396" s="250">
        <f t="shared" si="289"/>
        <v>0.9</v>
      </c>
      <c r="AW396" s="250">
        <f t="shared" si="289"/>
        <v>0.9</v>
      </c>
      <c r="AX396" s="250">
        <f>AX377</f>
        <v>0.9</v>
      </c>
      <c r="AY396" s="250">
        <f t="shared" ref="AY396:BO397" si="290">AY377</f>
        <v>0.9</v>
      </c>
      <c r="AZ396" s="250">
        <f t="shared" si="290"/>
        <v>0.9</v>
      </c>
      <c r="BA396" s="250">
        <f t="shared" si="290"/>
        <v>0.9</v>
      </c>
      <c r="BB396" s="250">
        <f t="shared" si="290"/>
        <v>0.9</v>
      </c>
      <c r="BC396" s="250">
        <f t="shared" si="290"/>
        <v>0.9</v>
      </c>
      <c r="BD396" s="250">
        <f t="shared" si="290"/>
        <v>0.9</v>
      </c>
      <c r="BE396" s="250">
        <f t="shared" si="290"/>
        <v>0.9</v>
      </c>
      <c r="BF396" s="250">
        <f t="shared" si="290"/>
        <v>0.9</v>
      </c>
      <c r="BG396" s="250">
        <f t="shared" si="290"/>
        <v>0.9</v>
      </c>
      <c r="BH396" s="250">
        <f t="shared" si="290"/>
        <v>0.9</v>
      </c>
      <c r="BI396" s="250">
        <f t="shared" si="290"/>
        <v>0.9</v>
      </c>
      <c r="BJ396" s="250">
        <f t="shared" si="290"/>
        <v>0.9</v>
      </c>
      <c r="BK396" s="250">
        <f t="shared" si="290"/>
        <v>0.9</v>
      </c>
      <c r="BL396" s="250">
        <f t="shared" si="290"/>
        <v>0.9</v>
      </c>
      <c r="BM396" s="250">
        <f t="shared" si="290"/>
        <v>0.9</v>
      </c>
      <c r="BN396" s="250">
        <f t="shared" si="290"/>
        <v>0.9</v>
      </c>
      <c r="BO396" s="250">
        <f t="shared" si="290"/>
        <v>0.9</v>
      </c>
      <c r="BP396" s="4"/>
    </row>
    <row r="397" spans="38:68" ht="19.149999999999999" x14ac:dyDescent="0.4">
      <c r="AL397" s="13"/>
      <c r="AM397" s="249"/>
      <c r="AN397" s="250">
        <f>AN378</f>
        <v>0.4</v>
      </c>
      <c r="AO397" s="251" t="s">
        <v>330</v>
      </c>
      <c r="AP397" s="250">
        <f>AP378</f>
        <v>9.9999999999999978E-2</v>
      </c>
      <c r="AQ397" s="250">
        <f t="shared" si="289"/>
        <v>9.9999999999999978E-2</v>
      </c>
      <c r="AR397" s="250">
        <f t="shared" si="289"/>
        <v>9.9999999999999978E-2</v>
      </c>
      <c r="AS397" s="250">
        <f t="shared" si="289"/>
        <v>9.9999999999999978E-2</v>
      </c>
      <c r="AT397" s="250">
        <f t="shared" si="289"/>
        <v>9.9999999999999978E-2</v>
      </c>
      <c r="AU397" s="250">
        <f t="shared" si="289"/>
        <v>9.9999999999999978E-2</v>
      </c>
      <c r="AV397" s="250">
        <f t="shared" si="289"/>
        <v>9.9999999999999978E-2</v>
      </c>
      <c r="AW397" s="250">
        <f t="shared" si="289"/>
        <v>9.9999999999999978E-2</v>
      </c>
      <c r="AX397" s="250">
        <f>AX378</f>
        <v>9.9999999999999978E-2</v>
      </c>
      <c r="AY397" s="250">
        <f t="shared" si="290"/>
        <v>9.9999999999999978E-2</v>
      </c>
      <c r="AZ397" s="250">
        <f t="shared" si="290"/>
        <v>9.9999999999999978E-2</v>
      </c>
      <c r="BA397" s="250">
        <f t="shared" si="290"/>
        <v>9.9999999999999978E-2</v>
      </c>
      <c r="BB397" s="250">
        <f t="shared" si="290"/>
        <v>9.9999999999999978E-2</v>
      </c>
      <c r="BC397" s="250">
        <f t="shared" si="290"/>
        <v>9.9999999999999978E-2</v>
      </c>
      <c r="BD397" s="250">
        <f t="shared" si="290"/>
        <v>9.9999999999999978E-2</v>
      </c>
      <c r="BE397" s="250">
        <f t="shared" si="290"/>
        <v>9.9999999999999978E-2</v>
      </c>
      <c r="BF397" s="250">
        <f t="shared" si="290"/>
        <v>9.9999999999999978E-2</v>
      </c>
      <c r="BG397" s="250">
        <f t="shared" si="290"/>
        <v>9.9999999999999978E-2</v>
      </c>
      <c r="BH397" s="250">
        <f t="shared" si="290"/>
        <v>9.9999999999999978E-2</v>
      </c>
      <c r="BI397" s="250">
        <f t="shared" si="290"/>
        <v>9.9999999999999978E-2</v>
      </c>
      <c r="BJ397" s="250">
        <f t="shared" si="290"/>
        <v>9.9999999999999978E-2</v>
      </c>
      <c r="BK397" s="250">
        <f t="shared" si="290"/>
        <v>9.9999999999999978E-2</v>
      </c>
      <c r="BL397" s="250">
        <f t="shared" si="290"/>
        <v>9.9999999999999978E-2</v>
      </c>
      <c r="BM397" s="250">
        <f t="shared" si="290"/>
        <v>9.9999999999999978E-2</v>
      </c>
      <c r="BN397" s="250">
        <f t="shared" si="290"/>
        <v>9.9999999999999978E-2</v>
      </c>
      <c r="BO397" s="250">
        <f t="shared" si="290"/>
        <v>9.9999999999999978E-2</v>
      </c>
      <c r="BP397" s="4"/>
    </row>
    <row r="398" spans="38:68" x14ac:dyDescent="0.4">
      <c r="AL398" s="13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</sheetData>
  <mergeCells count="19">
    <mergeCell ref="I101:I103"/>
    <mergeCell ref="A101:A104"/>
    <mergeCell ref="B101:B103"/>
    <mergeCell ref="C101:C103"/>
    <mergeCell ref="D101:E102"/>
    <mergeCell ref="F101:H101"/>
    <mergeCell ref="G102:H102"/>
    <mergeCell ref="AF102:AI102"/>
    <mergeCell ref="P103:P104"/>
    <mergeCell ref="S103:S104"/>
    <mergeCell ref="J101:J103"/>
    <mergeCell ref="K101:K103"/>
    <mergeCell ref="L101:N101"/>
    <mergeCell ref="O101:AI101"/>
    <mergeCell ref="P102:AD102"/>
    <mergeCell ref="L102:L104"/>
    <mergeCell ref="M102:M103"/>
    <mergeCell ref="N102:N103"/>
    <mergeCell ref="O102:O104"/>
  </mergeCells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9B32-66F9-4C5A-A164-2B75AFB545F7}">
  <dimension ref="A1:J12"/>
  <sheetViews>
    <sheetView workbookViewId="0">
      <selection activeCell="C9" sqref="C9"/>
    </sheetView>
  </sheetViews>
  <sheetFormatPr defaultRowHeight="13.9" x14ac:dyDescent="0.4"/>
  <cols>
    <col min="1" max="1" width="15.9296875" bestFit="1" customWidth="1"/>
    <col min="2" max="2" width="10.86328125" customWidth="1"/>
  </cols>
  <sheetData>
    <row r="1" spans="1:10" ht="47.25" x14ac:dyDescent="0.4">
      <c r="A1" s="303" t="s">
        <v>369</v>
      </c>
      <c r="B1" s="264" t="s">
        <v>367</v>
      </c>
      <c r="C1" s="264" t="s">
        <v>352</v>
      </c>
      <c r="D1" s="264" t="s">
        <v>361</v>
      </c>
      <c r="E1" s="264" t="s">
        <v>362</v>
      </c>
      <c r="F1" s="264" t="s">
        <v>363</v>
      </c>
      <c r="G1" s="265" t="s">
        <v>353</v>
      </c>
      <c r="H1" s="266" t="s">
        <v>355</v>
      </c>
      <c r="I1" s="265" t="s">
        <v>357</v>
      </c>
      <c r="J1" s="265" t="s">
        <v>359</v>
      </c>
    </row>
    <row r="2" spans="1:10" ht="15.75" customHeight="1" x14ac:dyDescent="0.4">
      <c r="A2" s="304"/>
      <c r="B2" s="267" t="s">
        <v>368</v>
      </c>
      <c r="C2" s="267" t="s">
        <v>351</v>
      </c>
      <c r="D2" s="267" t="s">
        <v>365</v>
      </c>
      <c r="E2" s="267" t="s">
        <v>366</v>
      </c>
      <c r="F2" s="267" t="s">
        <v>364</v>
      </c>
      <c r="G2" s="268" t="s">
        <v>354</v>
      </c>
      <c r="H2" s="269" t="s">
        <v>356</v>
      </c>
      <c r="I2" s="268" t="s">
        <v>358</v>
      </c>
      <c r="J2" s="268" t="s">
        <v>360</v>
      </c>
    </row>
    <row r="3" spans="1:10" ht="16.899999999999999" x14ac:dyDescent="0.4">
      <c r="A3" s="272" t="s">
        <v>103</v>
      </c>
      <c r="B3" s="270">
        <v>2376.38</v>
      </c>
      <c r="C3" s="270">
        <v>9.0500000000000007</v>
      </c>
      <c r="D3" s="271">
        <f t="shared" ref="D3:D10" si="0">H3*(100-$C3)/(100-$G3)</f>
        <v>53.75342105263158</v>
      </c>
      <c r="E3" s="271">
        <f t="shared" ref="E3:E12" si="1">I3*(100-$C3)/(100-$G3)</f>
        <v>1.5392982456140349</v>
      </c>
      <c r="F3" s="271">
        <f t="shared" ref="F3" si="2">J3*(100-$C3)/(100-$G3)</f>
        <v>20.240833333333335</v>
      </c>
      <c r="G3" s="270">
        <v>3.1</v>
      </c>
      <c r="H3" s="270">
        <v>57.27</v>
      </c>
      <c r="I3" s="270">
        <v>1.64</v>
      </c>
      <c r="J3" s="270">
        <v>21.565000000000001</v>
      </c>
    </row>
    <row r="4" spans="1:10" ht="16.899999999999999" x14ac:dyDescent="0.4">
      <c r="A4" s="272" t="s">
        <v>105</v>
      </c>
      <c r="B4" s="270">
        <v>1731.53</v>
      </c>
      <c r="C4" s="270">
        <v>9.9</v>
      </c>
      <c r="D4" s="271">
        <f t="shared" si="0"/>
        <v>59.606917129365357</v>
      </c>
      <c r="E4" s="271">
        <f t="shared" si="1"/>
        <v>0.41611229308287057</v>
      </c>
      <c r="F4" s="271">
        <f t="shared" ref="F4" si="3">J4*(100-$C4)/(100-$G4)</f>
        <v>16.798780551087123</v>
      </c>
      <c r="G4" s="270">
        <v>3.645</v>
      </c>
      <c r="H4" s="270">
        <v>63.744999999999997</v>
      </c>
      <c r="I4" s="270">
        <v>0.44500000000000001</v>
      </c>
      <c r="J4" s="270">
        <v>17.965</v>
      </c>
    </row>
    <row r="5" spans="1:10" ht="16.899999999999999" x14ac:dyDescent="0.4">
      <c r="A5" s="272" t="s">
        <v>336</v>
      </c>
      <c r="B5" s="270">
        <v>2400</v>
      </c>
      <c r="C5" s="270">
        <v>19.2</v>
      </c>
      <c r="D5" s="271">
        <f t="shared" si="0"/>
        <v>32.974564459930306</v>
      </c>
      <c r="E5" s="271">
        <f t="shared" si="1"/>
        <v>0.80500871080139369</v>
      </c>
      <c r="F5" s="271">
        <f t="shared" ref="F5:F12" si="4">J5*(100-$C5)/(100-$G5)</f>
        <v>28.483231707317074</v>
      </c>
      <c r="G5" s="270">
        <v>8.16</v>
      </c>
      <c r="H5" s="270">
        <v>37.479999999999997</v>
      </c>
      <c r="I5" s="270">
        <v>0.91500000000000004</v>
      </c>
      <c r="J5" s="270">
        <v>32.375</v>
      </c>
    </row>
    <row r="6" spans="1:10" ht="16.899999999999999" x14ac:dyDescent="0.4">
      <c r="A6" s="272" t="s">
        <v>337</v>
      </c>
      <c r="B6" s="270">
        <v>3200</v>
      </c>
      <c r="C6" s="270">
        <v>19.149999999999999</v>
      </c>
      <c r="D6" s="271">
        <f t="shared" si="0"/>
        <v>23.873821339950368</v>
      </c>
      <c r="E6" s="271">
        <f t="shared" si="1"/>
        <v>0.84706368899917284</v>
      </c>
      <c r="F6" s="271">
        <f t="shared" si="4"/>
        <v>30.507667493796529</v>
      </c>
      <c r="G6" s="270">
        <v>9.3249999999999993</v>
      </c>
      <c r="H6" s="270">
        <v>26.774999999999999</v>
      </c>
      <c r="I6" s="270">
        <v>0.95</v>
      </c>
      <c r="J6" s="270">
        <v>34.215000000000003</v>
      </c>
    </row>
    <row r="7" spans="1:10" ht="16.899999999999999" x14ac:dyDescent="0.4">
      <c r="A7" s="272" t="s">
        <v>338</v>
      </c>
      <c r="B7" s="270">
        <v>3200</v>
      </c>
      <c r="C7" s="270">
        <v>19.149999999999999</v>
      </c>
      <c r="D7" s="271">
        <f t="shared" si="0"/>
        <v>23.873821339950368</v>
      </c>
      <c r="E7" s="271">
        <f t="shared" si="1"/>
        <v>0.84706368899917284</v>
      </c>
      <c r="F7" s="271">
        <f t="shared" si="4"/>
        <v>30.507667493796529</v>
      </c>
      <c r="G7" s="270">
        <v>9.3249999999999993</v>
      </c>
      <c r="H7" s="270">
        <v>26.774999999999999</v>
      </c>
      <c r="I7" s="270">
        <v>0.95</v>
      </c>
      <c r="J7" s="270">
        <v>34.215000000000003</v>
      </c>
    </row>
    <row r="8" spans="1:10" ht="16.899999999999999" x14ac:dyDescent="0.4">
      <c r="A8" s="272" t="s">
        <v>339</v>
      </c>
      <c r="B8" s="270">
        <v>3200</v>
      </c>
      <c r="C8" s="270">
        <v>45</v>
      </c>
      <c r="D8" s="271">
        <f t="shared" si="0"/>
        <v>6.7073170731707314</v>
      </c>
      <c r="E8" s="271">
        <f t="shared" si="1"/>
        <v>0.67073170731707321</v>
      </c>
      <c r="F8" s="271">
        <f t="shared" si="4"/>
        <v>23.475609756097562</v>
      </c>
      <c r="G8" s="270">
        <v>18</v>
      </c>
      <c r="H8" s="270">
        <v>10</v>
      </c>
      <c r="I8" s="270">
        <v>1</v>
      </c>
      <c r="J8" s="270">
        <v>35</v>
      </c>
    </row>
    <row r="9" spans="1:10" ht="16.899999999999999" x14ac:dyDescent="0.4">
      <c r="A9" s="272" t="s">
        <v>340</v>
      </c>
      <c r="B9" s="270">
        <v>3500</v>
      </c>
      <c r="C9" s="270">
        <v>40</v>
      </c>
      <c r="D9" s="271">
        <f t="shared" si="0"/>
        <v>5.8536585365853657</v>
      </c>
      <c r="E9" s="271">
        <f t="shared" si="1"/>
        <v>0.73170731707317072</v>
      </c>
      <c r="F9" s="271">
        <f t="shared" si="4"/>
        <v>25.609756097560975</v>
      </c>
      <c r="G9" s="270">
        <v>18</v>
      </c>
      <c r="H9" s="270">
        <v>8</v>
      </c>
      <c r="I9" s="270">
        <v>1</v>
      </c>
      <c r="J9" s="270">
        <v>35</v>
      </c>
    </row>
    <row r="10" spans="1:10" ht="16.899999999999999" x14ac:dyDescent="0.4">
      <c r="A10" s="272" t="s">
        <v>341</v>
      </c>
      <c r="B10" s="270">
        <v>3800</v>
      </c>
      <c r="C10" s="270">
        <v>38</v>
      </c>
      <c r="D10" s="271">
        <f t="shared" si="0"/>
        <v>6.0487804878048781</v>
      </c>
      <c r="E10" s="271">
        <f t="shared" si="1"/>
        <v>0.75609756097560976</v>
      </c>
      <c r="F10" s="271">
        <f t="shared" si="4"/>
        <v>26.463414634146343</v>
      </c>
      <c r="G10" s="270">
        <v>18</v>
      </c>
      <c r="H10" s="270">
        <v>8</v>
      </c>
      <c r="I10" s="270">
        <v>1</v>
      </c>
      <c r="J10" s="270">
        <v>35</v>
      </c>
    </row>
    <row r="11" spans="1:10" ht="16.899999999999999" x14ac:dyDescent="0.4">
      <c r="A11" s="272" t="s">
        <v>342</v>
      </c>
      <c r="B11" s="270">
        <v>4700</v>
      </c>
      <c r="C11" s="270">
        <v>27</v>
      </c>
      <c r="D11" s="271">
        <f t="shared" ref="D11:D12" si="5">H11*(100-$C11)/(100-$G11)</f>
        <v>7.1219512195121952</v>
      </c>
      <c r="E11" s="271">
        <f t="shared" si="1"/>
        <v>0.8902439024390244</v>
      </c>
      <c r="F11" s="271">
        <f t="shared" si="4"/>
        <v>31.158536585365855</v>
      </c>
      <c r="G11" s="270">
        <v>18</v>
      </c>
      <c r="H11" s="270">
        <v>8</v>
      </c>
      <c r="I11" s="270">
        <v>1</v>
      </c>
      <c r="J11" s="270">
        <v>35</v>
      </c>
    </row>
    <row r="12" spans="1:10" ht="16.899999999999999" x14ac:dyDescent="0.4">
      <c r="A12" s="272" t="s">
        <v>343</v>
      </c>
      <c r="B12" s="270">
        <v>5500</v>
      </c>
      <c r="C12" s="270">
        <v>17</v>
      </c>
      <c r="D12" s="271">
        <f t="shared" si="5"/>
        <v>17.659574468085108</v>
      </c>
      <c r="E12" s="271">
        <f t="shared" si="1"/>
        <v>0.70638297872340428</v>
      </c>
      <c r="F12" s="271">
        <f t="shared" si="4"/>
        <v>24.723404255319149</v>
      </c>
      <c r="G12" s="270">
        <v>6</v>
      </c>
      <c r="H12" s="270">
        <v>20</v>
      </c>
      <c r="I12" s="270">
        <v>0.8</v>
      </c>
      <c r="J12" s="270">
        <v>28</v>
      </c>
    </row>
  </sheetData>
  <mergeCells count="1">
    <mergeCell ref="A1:A2"/>
  </mergeCells>
  <phoneticPr fontId="7" type="noConversion"/>
  <conditionalFormatting sqref="B1:B2">
    <cfRule type="cellIs" dxfId="1" priority="1" operator="lessThan">
      <formula>2000</formula>
    </cfRule>
    <cfRule type="cellIs" dxfId="0" priority="2" operator="greaterThan">
      <formula>2000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8月</vt:lpstr>
      <vt:lpstr>煤参数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雄元 罗</dc:creator>
  <cp:lastModifiedBy>雄元 罗</cp:lastModifiedBy>
  <dcterms:created xsi:type="dcterms:W3CDTF">2025-10-29T07:51:15Z</dcterms:created>
  <dcterms:modified xsi:type="dcterms:W3CDTF">2025-12-05T09:57:49Z</dcterms:modified>
</cp:coreProperties>
</file>